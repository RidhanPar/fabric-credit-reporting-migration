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PL" sheetId="3" state="visible" r:id="rId3"/>
    <sheet name="CZ" sheetId="4" state="visible" r:id="rId4"/>
    <sheet name="RO" sheetId="5" state="visible" r:id="rId5"/>
    <sheet name="Data_Balances" sheetId="6" state="visible" r:id="rId6"/>
    <sheet name="Data_Originations" sheetId="7" state="visible" r:id="rId7"/>
    <sheet name="Data_Applications" sheetId="8" state="visible" r:id="rId8"/>
    <sheet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Group portfolio balance (EUR)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'Summary'!$A$5:$A$28</f>
            </numRef>
          </cat>
          <val>
            <numRef>
              <f>'Summary'!$B$5:$B$28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Monthly Portfolio Pack</t>
        </is>
      </c>
    </row>
    <row r="2">
      <c r="A2" t="inlineStr">
        <is>
          <t>Owner: Group Finance, Reporting Team</t>
        </is>
      </c>
    </row>
    <row r="3">
      <c r="A3" t="inlineStr">
        <is>
          <t>Data as of: 31 August 2026</t>
        </is>
      </c>
    </row>
    <row r="4">
      <c r="A4" t="inlineStr"/>
    </row>
    <row r="5">
      <c r="A5" s="2" t="inlineStr">
        <is>
          <t>Monthly process</t>
        </is>
      </c>
    </row>
    <row r="6">
      <c r="A6" t="inlineStr">
        <is>
          <t>1. Receive the three DWH extracts by email (balance cube, originations, applications).</t>
        </is>
      </c>
    </row>
    <row r="7">
      <c r="A7" t="inlineStr">
        <is>
          <t>2. Paste each extract below the last row of its Data_ tab. Copy the Product line formula down on Data_Balances.</t>
        </is>
      </c>
    </row>
    <row r="8">
      <c r="A8" t="inlineStr">
        <is>
          <t>3. Add the new month end rates from the Treasury email to the FX table on Lookups.</t>
        </is>
      </c>
    </row>
    <row r="9">
      <c r="A9" t="inlineStr">
        <is>
          <t>4. On each country tab, copy the last row down one row and enter the new month end date in column A.</t>
        </is>
      </c>
    </row>
    <row r="10">
      <c r="A10" t="inlineStr">
        <is>
          <t>5. Extend the Summary tab by one row. Check the chart picks it up.</t>
        </is>
      </c>
    </row>
    <row r="11">
      <c r="A11" t="inlineStr">
        <is>
          <t>6. Paste Summary as values into the board pack slides.</t>
        </is>
      </c>
    </row>
    <row r="12">
      <c r="A12" t="inlineStr"/>
    </row>
    <row r="13">
      <c r="A13" s="2" t="inlineStr">
        <is>
          <t>Tabs</t>
        </is>
      </c>
    </row>
    <row r="14">
      <c r="A14" t="inlineStr">
        <is>
          <t>Summary: group KPIs for the board pack.</t>
        </is>
      </c>
    </row>
    <row r="15">
      <c r="A15" t="inlineStr">
        <is>
          <t>PL, CZ, RO: country KPIs. Each country analyst maintains their own tab.</t>
        </is>
      </c>
    </row>
    <row r="16">
      <c r="A16" t="inlineStr">
        <is>
          <t>Data_Balances, Data_Originations, Data_Applications: pasted DWH extracts. Do not sort.</t>
        </is>
      </c>
    </row>
    <row r="17">
      <c r="A17" t="inlineStr">
        <is>
          <t>Lookups: product mapping and Treasury FX rates.</t>
        </is>
      </c>
    </row>
    <row r="18">
      <c r="A18" t="inlineStr"/>
    </row>
    <row r="19">
      <c r="A19" s="2" t="inlineStr">
        <is>
          <t>Change log</t>
        </is>
      </c>
    </row>
    <row r="20">
      <c r="A20" t="inlineStr">
        <is>
          <t>v11  Added Gold card to product mapping.</t>
        </is>
      </c>
    </row>
    <row r="21">
      <c r="A21" t="inlineStr">
        <is>
          <t>v12  Split 90+ DPD out of 30+ DPD on country tabs.</t>
        </is>
      </c>
    </row>
    <row r="22">
      <c r="A22" t="inlineStr">
        <is>
          <t>v13  Added Card Debt Consolidation Loan to product mapping.</t>
        </is>
      </c>
    </row>
    <row r="23">
      <c r="A23" t="inlineStr">
        <is>
          <t>v14  Summary chart re-pointed after row insert.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3" t="inlineStr">
        <is>
          <t>Group portfolio KPIs (EUR)</t>
        </is>
      </c>
    </row>
    <row r="4" ht="45" customHeight="1">
      <c r="A4" s="4" t="inlineStr">
        <is>
          <t>Month end</t>
        </is>
      </c>
      <c r="B4" s="4" t="inlineStr">
        <is>
          <t>Portfolio balance (EUR)</t>
        </is>
      </c>
      <c r="C4" s="4" t="inlineStr">
        <is>
          <t>New accounts</t>
        </is>
      </c>
      <c r="D4" s="4" t="inlineStr">
        <is>
          <t>New originations (EUR)</t>
        </is>
      </c>
      <c r="E4" s="4" t="inlineStr">
        <is>
          <t>30+ DPD rate</t>
        </is>
      </c>
      <c r="F4" s="4" t="inlineStr">
        <is>
          <t>90+ DPD rate</t>
        </is>
      </c>
      <c r="G4" s="4" t="inlineStr">
        <is>
          <t>Approval rate</t>
        </is>
      </c>
      <c r="H4" s="4" t="inlineStr">
        <is>
          <t>Avg balance per customer (EUR)</t>
        </is>
      </c>
    </row>
    <row r="5">
      <c r="A5" s="5" t="n">
        <v>45565</v>
      </c>
      <c r="B5" s="6">
        <f>PL!D5+CZ!D5+RO!D5</f>
        <v/>
      </c>
      <c r="C5" s="6">
        <f>PL!E5+CZ!E5+RO!E5</f>
        <v/>
      </c>
      <c r="D5" s="6">
        <f>PL!G5+CZ!G5+RO!G5</f>
        <v/>
      </c>
      <c r="E5" s="7">
        <f>IFERROR((PL!I5*PL!D5+CZ!I5*CZ!D5+RO!I5*RO!D5)/B5,0)</f>
        <v/>
      </c>
      <c r="F5" s="7">
        <f>IFERROR((PL!K5*PL!D5+CZ!K5*CZ!D5+RO!K5*RO!D5)/B5,0)</f>
        <v/>
      </c>
      <c r="G5" s="7">
        <f>IFERROR((PL!M5+CZ!M5+RO!M5)/(PL!L5+CZ!L5+RO!L5),0)</f>
        <v/>
      </c>
      <c r="H5" s="6">
        <f>IFERROR(B5/(PL!O5+CZ!O5+RO!O5),0)</f>
        <v/>
      </c>
    </row>
    <row r="6">
      <c r="A6" s="5" t="n">
        <v>45596</v>
      </c>
      <c r="B6" s="6">
        <f>PL!D6+CZ!D6+RO!D6</f>
        <v/>
      </c>
      <c r="C6" s="6">
        <f>PL!E6+CZ!E6+RO!E6</f>
        <v/>
      </c>
      <c r="D6" s="6">
        <f>PL!G6+CZ!G6+RO!G6</f>
        <v/>
      </c>
      <c r="E6" s="7">
        <f>IFERROR((PL!I6*PL!D6+CZ!I6*CZ!D6+RO!I6*RO!D6)/B6,0)</f>
        <v/>
      </c>
      <c r="F6" s="7">
        <f>IFERROR((PL!K6*PL!D6+CZ!K6*CZ!D6+RO!K6*RO!D6)/B6,0)</f>
        <v/>
      </c>
      <c r="G6" s="7">
        <f>IFERROR((PL!M6+CZ!M6+RO!M6)/(PL!L6+CZ!L6+RO!L6),0)</f>
        <v/>
      </c>
      <c r="H6" s="6">
        <f>IFERROR(B6/(PL!O6+CZ!O6+RO!O6),0)</f>
        <v/>
      </c>
    </row>
    <row r="7">
      <c r="A7" s="5" t="n">
        <v>45626</v>
      </c>
      <c r="B7" s="6">
        <f>PL!D7+CZ!D7+RO!D7</f>
        <v/>
      </c>
      <c r="C7" s="6">
        <f>PL!E7+CZ!E7+RO!E7</f>
        <v/>
      </c>
      <c r="D7" s="6">
        <f>PL!G7+CZ!G7+RO!G7</f>
        <v/>
      </c>
      <c r="E7" s="7">
        <f>IFERROR((PL!I7*PL!D7+CZ!I7*CZ!D7+RO!I7*RO!D7)/B7,0)</f>
        <v/>
      </c>
      <c r="F7" s="7">
        <f>IFERROR((PL!K7*PL!D7+CZ!K7*CZ!D7+RO!K7*RO!D7)/B7,0)</f>
        <v/>
      </c>
      <c r="G7" s="7">
        <f>IFERROR((PL!M7+CZ!M7+RO!M7)/(PL!L7+CZ!L7+RO!L7),0)</f>
        <v/>
      </c>
      <c r="H7" s="6">
        <f>IFERROR(B7/(PL!O7+CZ!O7+RO!O7),0)</f>
        <v/>
      </c>
    </row>
    <row r="8">
      <c r="A8" s="5" t="n">
        <v>45657</v>
      </c>
      <c r="B8" s="6">
        <f>PL!D8+CZ!D8+RO!D8</f>
        <v/>
      </c>
      <c r="C8" s="6">
        <f>PL!E8+CZ!E8+RO!E8</f>
        <v/>
      </c>
      <c r="D8" s="6">
        <f>PL!G8+CZ!G8+RO!G8</f>
        <v/>
      </c>
      <c r="E8" s="7">
        <f>IFERROR((PL!I8*PL!D8+CZ!I8*CZ!D8+RO!I8*RO!D8)/B8,0)</f>
        <v/>
      </c>
      <c r="F8" s="7">
        <f>IFERROR((PL!K8*PL!D8+CZ!K8*CZ!D8+RO!K8*RO!D8)/B8,0)</f>
        <v/>
      </c>
      <c r="G8" s="7">
        <f>IFERROR((PL!M8+CZ!M8+RO!M8)/(PL!L8+CZ!L8+RO!L8),0)</f>
        <v/>
      </c>
      <c r="H8" s="6">
        <f>IFERROR(B8/(PL!O8+CZ!O8+RO!O8),0)</f>
        <v/>
      </c>
    </row>
    <row r="9">
      <c r="A9" s="5" t="n">
        <v>45688</v>
      </c>
      <c r="B9" s="6">
        <f>PL!D9+CZ!D9+RO!D9</f>
        <v/>
      </c>
      <c r="C9" s="6">
        <f>PL!E9+CZ!E9+RO!E9</f>
        <v/>
      </c>
      <c r="D9" s="6">
        <f>PL!G9+CZ!G9+RO!G9</f>
        <v/>
      </c>
      <c r="E9" s="7">
        <f>IFERROR((PL!I9*PL!D9+CZ!I9*CZ!D9+RO!I9*RO!D9)/B9,0)</f>
        <v/>
      </c>
      <c r="F9" s="7">
        <f>IFERROR((PL!K9*PL!D9+CZ!K9*CZ!D9+RO!K9*RO!D9)/B9,0)</f>
        <v/>
      </c>
      <c r="G9" s="7">
        <f>IFERROR((PL!M9+CZ!M9+RO!M9)/(PL!L9+CZ!L9+RO!L9),0)</f>
        <v/>
      </c>
      <c r="H9" s="6">
        <f>IFERROR(B9/(PL!O9+CZ!O9+RO!O9),0)</f>
        <v/>
      </c>
    </row>
    <row r="10">
      <c r="A10" s="5" t="n">
        <v>45716</v>
      </c>
      <c r="B10" s="6">
        <f>PL!D10+CZ!D10+RO!D10</f>
        <v/>
      </c>
      <c r="C10" s="6">
        <f>PL!E10+CZ!E10+RO!E10</f>
        <v/>
      </c>
      <c r="D10" s="6">
        <f>PL!G10+CZ!G10+RO!G10</f>
        <v/>
      </c>
      <c r="E10" s="7">
        <f>IFERROR((PL!I10*PL!D10+CZ!I10*CZ!D10+RO!I10*RO!D10)/B10,0)</f>
        <v/>
      </c>
      <c r="F10" s="7">
        <f>IFERROR((PL!K10*PL!D10+CZ!K10*CZ!D10+RO!K10*RO!D10)/B10,0)</f>
        <v/>
      </c>
      <c r="G10" s="7">
        <f>IFERROR((PL!M10+CZ!M10+RO!M10)/(PL!L10+CZ!L10+RO!L10),0)</f>
        <v/>
      </c>
      <c r="H10" s="6">
        <f>IFERROR(B10/(PL!O10+CZ!O10+RO!O10),0)</f>
        <v/>
      </c>
    </row>
    <row r="11">
      <c r="A11" s="5" t="n">
        <v>45747</v>
      </c>
      <c r="B11" s="6">
        <f>PL!D11+CZ!D11+RO!D11</f>
        <v/>
      </c>
      <c r="C11" s="6">
        <f>PL!E11+CZ!E11+RO!E11</f>
        <v/>
      </c>
      <c r="D11" s="6">
        <f>PL!G11+CZ!G11+RO!G11</f>
        <v/>
      </c>
      <c r="E11" s="7">
        <f>IFERROR((PL!I11*PL!D11+CZ!I11*CZ!D11+RO!I11*RO!D11)/B11,0)</f>
        <v/>
      </c>
      <c r="F11" s="7">
        <f>IFERROR((PL!K11*PL!D11+CZ!K11*CZ!D11+RO!K11*RO!D11)/B11,0)</f>
        <v/>
      </c>
      <c r="G11" s="7">
        <f>IFERROR((PL!M11+CZ!M11+RO!M11)/(PL!L11+CZ!L11+RO!L11),0)</f>
        <v/>
      </c>
      <c r="H11" s="6">
        <f>IFERROR(B11/(PL!O11+CZ!O11+RO!O11),0)</f>
        <v/>
      </c>
    </row>
    <row r="12">
      <c r="A12" s="5" t="n">
        <v>45777</v>
      </c>
      <c r="B12" s="6">
        <f>PL!D12+CZ!D12+RO!D12</f>
        <v/>
      </c>
      <c r="C12" s="6">
        <f>PL!E12+CZ!E12+RO!E12</f>
        <v/>
      </c>
      <c r="D12" s="6">
        <f>PL!G12+CZ!G12+RO!G12</f>
        <v/>
      </c>
      <c r="E12" s="7">
        <f>IFERROR((PL!I12*PL!D12+CZ!I12*CZ!D12+RO!I12*RO!D12)/B12,0)</f>
        <v/>
      </c>
      <c r="F12" s="7">
        <f>IFERROR((PL!K12*PL!D12+CZ!K12*CZ!D12+RO!K12*RO!D12)/B12,0)</f>
        <v/>
      </c>
      <c r="G12" s="7">
        <f>IFERROR((PL!M12+CZ!M12+RO!M12)/(PL!L12+CZ!L12+RO!L12),0)</f>
        <v/>
      </c>
      <c r="H12" s="6">
        <f>IFERROR(B12/(PL!O12+CZ!O12+RO!O12),0)</f>
        <v/>
      </c>
    </row>
    <row r="13">
      <c r="A13" s="5" t="n">
        <v>45808</v>
      </c>
      <c r="B13" s="6">
        <f>PL!D13+CZ!D13+RO!D13</f>
        <v/>
      </c>
      <c r="C13" s="6">
        <f>PL!E13+CZ!E13+RO!E13</f>
        <v/>
      </c>
      <c r="D13" s="6">
        <f>PL!G13+CZ!G13+RO!G13</f>
        <v/>
      </c>
      <c r="E13" s="7">
        <f>IFERROR((PL!I13*PL!D13+CZ!I13*CZ!D13+RO!I13*RO!D13)/B13,0)</f>
        <v/>
      </c>
      <c r="F13" s="7">
        <f>IFERROR((PL!K13*PL!D13+CZ!K13*CZ!D13+RO!K13*RO!D13)/B13,0)</f>
        <v/>
      </c>
      <c r="G13" s="7">
        <f>IFERROR((PL!M13+CZ!M13+RO!M13)/(PL!L13+CZ!L13+RO!L13),0)</f>
        <v/>
      </c>
      <c r="H13" s="6">
        <f>IFERROR(B13/(PL!O13+CZ!O13+RO!O13),0)</f>
        <v/>
      </c>
    </row>
    <row r="14">
      <c r="A14" s="5" t="n">
        <v>45838</v>
      </c>
      <c r="B14" s="6">
        <f>PL!D14+CZ!D14+RO!D14</f>
        <v/>
      </c>
      <c r="C14" s="6">
        <f>PL!E14+CZ!E14+RO!E14</f>
        <v/>
      </c>
      <c r="D14" s="6">
        <f>PL!G14+CZ!G14+RO!G14</f>
        <v/>
      </c>
      <c r="E14" s="7">
        <f>IFERROR((PL!I14*PL!D14+CZ!I14*CZ!D14+RO!I14*RO!D14)/B14,0)</f>
        <v/>
      </c>
      <c r="F14" s="7">
        <f>IFERROR((PL!K14*PL!D14+CZ!K14*CZ!D14+RO!K14*RO!D14)/B14,0)</f>
        <v/>
      </c>
      <c r="G14" s="7">
        <f>IFERROR((PL!M14+CZ!M14+RO!M14)/(PL!L14+CZ!L14+RO!L14),0)</f>
        <v/>
      </c>
      <c r="H14" s="6">
        <f>IFERROR(B14/(PL!O14+CZ!O14+RO!O14),0)</f>
        <v/>
      </c>
    </row>
    <row r="15">
      <c r="A15" s="5" t="n">
        <v>45869</v>
      </c>
      <c r="B15" s="6">
        <f>PL!D15+CZ!D15+RO!D15</f>
        <v/>
      </c>
      <c r="C15" s="6">
        <f>PL!E15+CZ!E15+RO!E15</f>
        <v/>
      </c>
      <c r="D15" s="6">
        <f>PL!G15+CZ!G15+RO!G15</f>
        <v/>
      </c>
      <c r="E15" s="7">
        <f>IFERROR((PL!I15*PL!D15+CZ!I15*CZ!D15+RO!I15*RO!D15)/B15,0)</f>
        <v/>
      </c>
      <c r="F15" s="7">
        <f>IFERROR((PL!K15*PL!D15+CZ!K15*CZ!D15+RO!K15*RO!D15)/B15,0)</f>
        <v/>
      </c>
      <c r="G15" s="7">
        <f>IFERROR((PL!M15+CZ!M15+RO!M15)/(PL!L15+CZ!L15+RO!L15),0)</f>
        <v/>
      </c>
      <c r="H15" s="6">
        <f>IFERROR(B15/(PL!O15+CZ!O15+RO!O15),0)</f>
        <v/>
      </c>
    </row>
    <row r="16">
      <c r="A16" s="5" t="n">
        <v>45900</v>
      </c>
      <c r="B16" s="6">
        <f>PL!D16+CZ!D16+RO!D16</f>
        <v/>
      </c>
      <c r="C16" s="6">
        <f>PL!E16+CZ!E16+RO!E16</f>
        <v/>
      </c>
      <c r="D16" s="6">
        <f>PL!G16+CZ!G16+RO!G16</f>
        <v/>
      </c>
      <c r="E16" s="7">
        <f>IFERROR((PL!I16*PL!D16+CZ!I16*CZ!D16+RO!I16*RO!D16)/B16,0)</f>
        <v/>
      </c>
      <c r="F16" s="7">
        <f>IFERROR((PL!K16*PL!D16+CZ!K16*CZ!D16+RO!K16*RO!D16)/B16,0)</f>
        <v/>
      </c>
      <c r="G16" s="7">
        <f>IFERROR((PL!M16+CZ!M16+RO!M16)/(PL!L16+CZ!L16+RO!L16),0)</f>
        <v/>
      </c>
      <c r="H16" s="6">
        <f>IFERROR(B16/(PL!O16+CZ!O16+RO!O16),0)</f>
        <v/>
      </c>
    </row>
    <row r="17">
      <c r="A17" s="5" t="n">
        <v>45930</v>
      </c>
      <c r="B17" s="6">
        <f>PL!D17+CZ!D17+RO!D17</f>
        <v/>
      </c>
      <c r="C17" s="6">
        <f>PL!E17+CZ!E17+RO!E17</f>
        <v/>
      </c>
      <c r="D17" s="6">
        <f>PL!G17+CZ!G17+RO!G17</f>
        <v/>
      </c>
      <c r="E17" s="7">
        <f>IFERROR((PL!I17*PL!D17+CZ!I17*CZ!D17+RO!I17*RO!D17)/B17,0)</f>
        <v/>
      </c>
      <c r="F17" s="7">
        <f>IFERROR((PL!K17*PL!D17+CZ!K17*CZ!D17+RO!K17*RO!D17)/B17,0)</f>
        <v/>
      </c>
      <c r="G17" s="7">
        <f>IFERROR((PL!M17+CZ!M17+RO!M17)/(PL!L17+CZ!L17+RO!L17),0)</f>
        <v/>
      </c>
      <c r="H17" s="6">
        <f>IFERROR(B17/(PL!O17+CZ!O17+RO!O17),0)</f>
        <v/>
      </c>
    </row>
    <row r="18">
      <c r="A18" s="5" t="n">
        <v>45961</v>
      </c>
      <c r="B18" s="6">
        <f>PL!D18+CZ!D18+RO!D18</f>
        <v/>
      </c>
      <c r="C18" s="6">
        <f>PL!E18+CZ!E18+RO!E18</f>
        <v/>
      </c>
      <c r="D18" s="6">
        <f>PL!G18+CZ!G18+RO!G18</f>
        <v/>
      </c>
      <c r="E18" s="7">
        <f>IFERROR((PL!I18*PL!D18+CZ!I18*CZ!D18+RO!I18*RO!D18)/B18,0)</f>
        <v/>
      </c>
      <c r="F18" s="7">
        <f>IFERROR((PL!K18*PL!D18+CZ!K18*CZ!D18+RO!K18*RO!D18)/B18,0)</f>
        <v/>
      </c>
      <c r="G18" s="7">
        <f>IFERROR((PL!M18+CZ!M18+RO!M18)/(PL!L18+CZ!L18+RO!L18),0)</f>
        <v/>
      </c>
      <c r="H18" s="6">
        <f>IFERROR(B18/(PL!O18+CZ!O18+RO!O18),0)</f>
        <v/>
      </c>
    </row>
    <row r="19">
      <c r="A19" s="5" t="n">
        <v>45991</v>
      </c>
      <c r="B19" s="6">
        <f>PL!D19+CZ!D19+RO!D19</f>
        <v/>
      </c>
      <c r="C19" s="6">
        <f>PL!E19+CZ!E19+RO!E19</f>
        <v/>
      </c>
      <c r="D19" s="6">
        <f>PL!G19+CZ!G19+RO!G19</f>
        <v/>
      </c>
      <c r="E19" s="7">
        <f>IFERROR((PL!I19*PL!D19+CZ!I19*CZ!D19+RO!I19*RO!D19)/B19,0)</f>
        <v/>
      </c>
      <c r="F19" s="7">
        <f>IFERROR((PL!K19*PL!D19+CZ!K19*CZ!D19+RO!K19*RO!D19)/B19,0)</f>
        <v/>
      </c>
      <c r="G19" s="7">
        <f>IFERROR((PL!M19+CZ!M19+RO!M19)/(PL!L19+CZ!L19+RO!L19),0)</f>
        <v/>
      </c>
      <c r="H19" s="6">
        <f>IFERROR(B19/(PL!O19+CZ!O19+RO!O19),0)</f>
        <v/>
      </c>
    </row>
    <row r="20">
      <c r="A20" s="5" t="n">
        <v>46022</v>
      </c>
      <c r="B20" s="6">
        <f>PL!D20+CZ!D20+RO!D20</f>
        <v/>
      </c>
      <c r="C20" s="6">
        <f>PL!E20+CZ!E20+RO!E20</f>
        <v/>
      </c>
      <c r="D20" s="6">
        <f>PL!G20+CZ!G20+RO!G20</f>
        <v/>
      </c>
      <c r="E20" s="7">
        <f>IFERROR((PL!I20*PL!D20+CZ!I20*CZ!D20+RO!I20*RO!D20)/B20,0)</f>
        <v/>
      </c>
      <c r="F20" s="7">
        <f>IFERROR((PL!K20*PL!D20+CZ!K20*CZ!D20+RO!K20*RO!D20)/B20,0)</f>
        <v/>
      </c>
      <c r="G20" s="7">
        <f>IFERROR((PL!M20+CZ!M20+RO!M20)/(PL!L20+CZ!L20+RO!L20),0)</f>
        <v/>
      </c>
      <c r="H20" s="6">
        <f>IFERROR(B20/(PL!O20+CZ!O20+RO!O20),0)</f>
        <v/>
      </c>
    </row>
    <row r="21">
      <c r="A21" s="5" t="n">
        <v>46053</v>
      </c>
      <c r="B21" s="6">
        <f>PL!D21+CZ!D21+RO!D21</f>
        <v/>
      </c>
      <c r="C21" s="6">
        <f>PL!E21+CZ!E21+RO!E21</f>
        <v/>
      </c>
      <c r="D21" s="6">
        <f>PL!G21+CZ!G21+RO!G21</f>
        <v/>
      </c>
      <c r="E21" s="7">
        <f>IFERROR((PL!I21*PL!D21+CZ!I21*CZ!D21+RO!I21*RO!D21)/B21,0)</f>
        <v/>
      </c>
      <c r="F21" s="7">
        <f>IFERROR((PL!K21*PL!D21+CZ!K21*CZ!D21+RO!K21*RO!D21)/B21,0)</f>
        <v/>
      </c>
      <c r="G21" s="7">
        <f>IFERROR((PL!M21+CZ!M21+RO!M21)/(PL!L21+CZ!L21+RO!L21),0)</f>
        <v/>
      </c>
      <c r="H21" s="6">
        <f>IFERROR(B21/(PL!O21+CZ!O21+RO!O21),0)</f>
        <v/>
      </c>
    </row>
    <row r="22">
      <c r="A22" s="5" t="n">
        <v>46081</v>
      </c>
      <c r="B22" s="6">
        <f>PL!D22+CZ!D22+RO!D22</f>
        <v/>
      </c>
      <c r="C22" s="6">
        <f>PL!E22+CZ!E22+RO!E22</f>
        <v/>
      </c>
      <c r="D22" s="6">
        <f>PL!G22+CZ!G22+RO!G22</f>
        <v/>
      </c>
      <c r="E22" s="7">
        <f>IFERROR((PL!I22*PL!D22+CZ!I22*CZ!D22+RO!I22*RO!D22)/B22,0)</f>
        <v/>
      </c>
      <c r="F22" s="7">
        <f>IFERROR((PL!K22*PL!D22+CZ!K22*CZ!D22+RO!K22*RO!D22)/B22,0)</f>
        <v/>
      </c>
      <c r="G22" s="7">
        <f>IFERROR((PL!M22+CZ!M22+RO!M22)/(PL!L22+CZ!L22+RO!L22),0)</f>
        <v/>
      </c>
      <c r="H22" s="6">
        <f>IFERROR(B22/(PL!O22+CZ!O22+RO!O22),0)</f>
        <v/>
      </c>
    </row>
    <row r="23">
      <c r="A23" s="5" t="n">
        <v>46112</v>
      </c>
      <c r="B23" s="6">
        <f>PL!D23+CZ!D23+RO!D23</f>
        <v/>
      </c>
      <c r="C23" s="6">
        <f>PL!E23+CZ!E23+RO!E23</f>
        <v/>
      </c>
      <c r="D23" s="6">
        <f>PL!G23+CZ!G23+RO!G23</f>
        <v/>
      </c>
      <c r="E23" s="7">
        <f>IFERROR((PL!I23*PL!D23+CZ!I23*CZ!D23+RO!I23*RO!D23)/B23,0)</f>
        <v/>
      </c>
      <c r="F23" s="7">
        <f>IFERROR((PL!K23*PL!D23+CZ!K23*CZ!D23+RO!K23*RO!D23)/B23,0)</f>
        <v/>
      </c>
      <c r="G23" s="7">
        <f>IFERROR((PL!M23+CZ!M23+RO!M23)/(PL!L23+CZ!L23+RO!L23),0)</f>
        <v/>
      </c>
      <c r="H23" s="6">
        <f>IFERROR(B23/(PL!O23+CZ!O23+RO!O23),0)</f>
        <v/>
      </c>
    </row>
    <row r="24">
      <c r="A24" s="5" t="n">
        <v>46142</v>
      </c>
      <c r="B24" s="6">
        <f>PL!D24+CZ!D24+RO!D24</f>
        <v/>
      </c>
      <c r="C24" s="6">
        <f>PL!E24+CZ!E24+RO!E24</f>
        <v/>
      </c>
      <c r="D24" s="6">
        <f>PL!G24+CZ!G24+RO!G24</f>
        <v/>
      </c>
      <c r="E24" s="7">
        <f>IFERROR((PL!I24*PL!D24+CZ!I24*CZ!D24+RO!I24*RO!D24)/B24,0)</f>
        <v/>
      </c>
      <c r="F24" s="7">
        <f>IFERROR((PL!K24*PL!D24+CZ!K24*CZ!D24+RO!K24*RO!D24)/B24,0)</f>
        <v/>
      </c>
      <c r="G24" s="7">
        <f>IFERROR((PL!M24+CZ!M24+RO!M24)/(PL!L24+CZ!L24+RO!L24),0)</f>
        <v/>
      </c>
      <c r="H24" s="6">
        <f>IFERROR(B24/(PL!O24+CZ!O24+RO!O24),0)</f>
        <v/>
      </c>
    </row>
    <row r="25">
      <c r="A25" s="5" t="n">
        <v>46173</v>
      </c>
      <c r="B25" s="6">
        <f>PL!D25+CZ!D25+RO!D25</f>
        <v/>
      </c>
      <c r="C25" s="6">
        <f>PL!E25+CZ!E25+RO!E25</f>
        <v/>
      </c>
      <c r="D25" s="6">
        <f>PL!G25+CZ!G25+RO!G25</f>
        <v/>
      </c>
      <c r="E25" s="7">
        <f>IFERROR((PL!I25*PL!D25+CZ!I25*CZ!D25+RO!I25*RO!D25)/B25,0)</f>
        <v/>
      </c>
      <c r="F25" s="7">
        <f>IFERROR((PL!K25*PL!D25+CZ!K25*CZ!D25+RO!K25*RO!D25)/B25,0)</f>
        <v/>
      </c>
      <c r="G25" s="7">
        <f>IFERROR((PL!M25+CZ!M25+RO!M25)/(PL!L25+CZ!L25+RO!L25),0)</f>
        <v/>
      </c>
      <c r="H25" s="6">
        <f>IFERROR(B25/(PL!O25+CZ!O25+RO!O25),0)</f>
        <v/>
      </c>
    </row>
    <row r="26">
      <c r="A26" s="5" t="n">
        <v>46203</v>
      </c>
      <c r="B26" s="6">
        <f>PL!D26+CZ!D26+RO!D26</f>
        <v/>
      </c>
      <c r="C26" s="6">
        <f>PL!E26+CZ!E26+RO!E26</f>
        <v/>
      </c>
      <c r="D26" s="6">
        <f>PL!G26+CZ!G26+RO!G26</f>
        <v/>
      </c>
      <c r="E26" s="7">
        <f>IFERROR((PL!I26*PL!D26+CZ!I26*CZ!D26+RO!I26*RO!D26)/B26,0)</f>
        <v/>
      </c>
      <c r="F26" s="7">
        <f>IFERROR((PL!K26*PL!D26+CZ!K26*CZ!D26+RO!K26*RO!D26)/B26,0)</f>
        <v/>
      </c>
      <c r="G26" s="7">
        <f>IFERROR((PL!M26+CZ!M26+RO!M26)/(PL!L26+CZ!L26+RO!L26),0)</f>
        <v/>
      </c>
      <c r="H26" s="6">
        <f>IFERROR(B26/(PL!O26+CZ!O26+RO!O26),0)</f>
        <v/>
      </c>
    </row>
    <row r="27">
      <c r="A27" s="5" t="n">
        <v>46234</v>
      </c>
      <c r="B27" s="6">
        <f>PL!D27+CZ!D27+RO!D27</f>
        <v/>
      </c>
      <c r="C27" s="6">
        <f>PL!E27+CZ!E27+RO!E27</f>
        <v/>
      </c>
      <c r="D27" s="6">
        <f>PL!G27+CZ!G27+RO!G27</f>
        <v/>
      </c>
      <c r="E27" s="7">
        <f>IFERROR((PL!I27*PL!D27+CZ!I27*CZ!D27+RO!I27*RO!D27)/B27,0)</f>
        <v/>
      </c>
      <c r="F27" s="7">
        <f>IFERROR((PL!K27*PL!D27+CZ!K27*CZ!D27+RO!K27*RO!D27)/B27,0)</f>
        <v/>
      </c>
      <c r="G27" s="7">
        <f>IFERROR((PL!M27+CZ!M27+RO!M27)/(PL!L27+CZ!L27+RO!L27),0)</f>
        <v/>
      </c>
      <c r="H27" s="6">
        <f>IFERROR(B27/(PL!O27+CZ!O27+RO!O27),0)</f>
        <v/>
      </c>
    </row>
    <row r="28">
      <c r="A28" s="5" t="n">
        <v>46265</v>
      </c>
      <c r="B28" s="6">
        <f>PL!D28+CZ!D28+RO!D28</f>
        <v/>
      </c>
      <c r="C28" s="6">
        <f>PL!E28+CZ!E28+RO!E28</f>
        <v/>
      </c>
      <c r="D28" s="6">
        <f>PL!G28+CZ!G28+RO!G28</f>
        <v/>
      </c>
      <c r="E28" s="7">
        <f>IFERROR((PL!I28*PL!D28+CZ!I28*CZ!D28+RO!I28*RO!D28)/B28,0)</f>
        <v/>
      </c>
      <c r="F28" s="7">
        <f>IFERROR((PL!K28*PL!D28+CZ!K28*CZ!D28+RO!K28*RO!D28)/B28,0)</f>
        <v/>
      </c>
      <c r="G28" s="7">
        <f>IFERROR((PL!M28+CZ!M28+RO!M28)/(PL!L28+CZ!L28+RO!L28),0)</f>
        <v/>
      </c>
      <c r="H28" s="6">
        <f>IFERROR(B28/(PL!O28+CZ!O28+RO!O28),0)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Country</t>
        </is>
      </c>
      <c r="B1" t="inlineStr">
        <is>
          <t>PL</t>
        </is>
      </c>
      <c r="C1" t="inlineStr">
        <is>
          <t>Poland</t>
        </is>
      </c>
    </row>
    <row r="2">
      <c r="A2" s="2" t="inlineStr">
        <is>
          <t>Currency</t>
        </is>
      </c>
      <c r="B2" t="inlineStr">
        <is>
          <t>PLN</t>
        </is>
      </c>
    </row>
    <row r="4" ht="45" customHeight="1">
      <c r="A4" s="4" t="inlineStr">
        <is>
          <t>Month end</t>
        </is>
      </c>
      <c r="B4" s="4" t="inlineStr">
        <is>
          <t>Portfolio balance (local)</t>
        </is>
      </c>
      <c r="C4" s="4" t="inlineStr">
        <is>
          <t>FX rate to EUR</t>
        </is>
      </c>
      <c r="D4" s="4" t="inlineStr">
        <is>
          <t>Portfolio balance (EUR)</t>
        </is>
      </c>
      <c r="E4" s="4" t="inlineStr">
        <is>
          <t>New accounts</t>
        </is>
      </c>
      <c r="F4" s="4" t="inlineStr">
        <is>
          <t>New originations (local)</t>
        </is>
      </c>
      <c r="G4" s="4" t="inlineStr">
        <is>
          <t>New originations (EUR)</t>
        </is>
      </c>
      <c r="H4" s="4" t="inlineStr">
        <is>
          <t>Balance 30+ DPD (local)</t>
        </is>
      </c>
      <c r="I4" s="4" t="inlineStr">
        <is>
          <t>30+ DPD rate</t>
        </is>
      </c>
      <c r="J4" s="4" t="inlineStr">
        <is>
          <t>Balance 90+ DPD (local)</t>
        </is>
      </c>
      <c r="K4" s="4" t="inlineStr">
        <is>
          <t>90+ DPD rate</t>
        </is>
      </c>
      <c r="L4" s="4" t="inlineStr">
        <is>
          <t>Applications received</t>
        </is>
      </c>
      <c r="M4" s="4" t="inlineStr">
        <is>
          <t>Applications approved</t>
        </is>
      </c>
      <c r="N4" s="4" t="inlineStr">
        <is>
          <t>Approval rate</t>
        </is>
      </c>
      <c r="O4" s="4" t="inlineStr">
        <is>
          <t>Active accounts</t>
        </is>
      </c>
      <c r="P4" s="4" t="inlineStr">
        <is>
          <t>Avg balance per customer (EUR)</t>
        </is>
      </c>
    </row>
    <row r="5">
      <c r="A5" s="5" t="n">
        <v>45565</v>
      </c>
      <c r="B5" s="6">
        <f>SUMIFS(Data_Balances!$G:$G,Data_Balances!$A:$A,$A5,Data_Balances!$B:$B,$B$1,Data_Balances!$H:$H,"Personal Loans")+SUMIFS(Data_Balances!$G:$G,Data_Balances!$A:$A,$A5,Data_Balances!$B:$B,$B$1,Data_Balances!$C:$C,"CC*")</f>
        <v/>
      </c>
      <c r="C5" s="8">
        <f>INDEX(Lookups!$F$3:$H$26,MATCH($A5,Lookups!$E$3:$E$26,0),MATCH($B$2,Lookups!$F$2:$H$2,0))</f>
        <v/>
      </c>
      <c r="D5" s="6">
        <f>B5*C5</f>
        <v/>
      </c>
      <c r="E5" s="6">
        <f>SUMIFS(Data_Originations!$D:$D,Data_Originations!$A:$A,$A5,Data_Originations!$B:$B,$B$1)</f>
        <v/>
      </c>
      <c r="F5" s="6">
        <f>SUMIFS(Data_Originations!$E:$E,Data_Originations!$A:$A,$A5,Data_Originations!$B:$B,$B$1)</f>
        <v/>
      </c>
      <c r="G5" s="6">
        <f>F5*C5</f>
        <v/>
      </c>
      <c r="H5" s="6">
        <f>SUMIFS(Data_Balances!$G:$G,Data_Balances!$A:$A,EOMONTH($A5,-1),Data_Balances!$B:$B,$B$1,Data_Balances!$E:$E,"&gt;=30")</f>
        <v/>
      </c>
      <c r="I5" s="7">
        <f>IFERROR(H5/SUMIFS(Data_Balances!$G:$G,Data_Balances!$A:$A,$A5,Data_Balances!$B:$B,$B$1),0)</f>
        <v/>
      </c>
      <c r="J5" s="6">
        <f>SUMIFS(Data_Balances!$G:$G,Data_Balances!$A:$A,$A5,Data_Balances!$B:$B,$B$1,Data_Balances!$E:$E,"&gt;=90")</f>
        <v/>
      </c>
      <c r="K5" s="7">
        <f>IFERROR(J5/SUMIFS(Data_Balances!$G:$G,Data_Balances!$A:$A,$A5,Data_Balances!$B:$B,$B$1),0)</f>
        <v/>
      </c>
      <c r="L5" s="6">
        <f>SUMIFS(Data_Applications!$D:$D,Data_Applications!$A:$A,$A5,Data_Applications!$B:$B,$B$1)</f>
        <v/>
      </c>
      <c r="M5" s="6">
        <f>SUMIFS(Data_Applications!$E:$E,Data_Applications!$A:$A,$A5,Data_Applications!$B:$B,$B$1)</f>
        <v/>
      </c>
      <c r="N5" s="7">
        <f>IFERROR(M5/L5,0)</f>
        <v/>
      </c>
      <c r="O5" s="6">
        <f>SUMIFS(Data_Balances!$F:$F,Data_Balances!$A:$A,$A5,Data_Balances!$B:$B,$B$1)</f>
        <v/>
      </c>
      <c r="P5" s="6">
        <f>IFERROR(D5/O5,0)</f>
        <v/>
      </c>
    </row>
    <row r="6">
      <c r="A6" s="5" t="n">
        <v>45596</v>
      </c>
      <c r="B6" s="6">
        <f>SUMIFS(Data_Balances!$G:$G,Data_Balances!$A:$A,$A6,Data_Balances!$B:$B,$B$1,Data_Balances!$H:$H,"Personal Loans")+SUMIFS(Data_Balances!$G:$G,Data_Balances!$A:$A,$A6,Data_Balances!$B:$B,$B$1,Data_Balances!$C:$C,"CC*")</f>
        <v/>
      </c>
      <c r="C6" s="8">
        <f>INDEX(Lookups!$F$3:$H$26,MATCH($A6,Lookups!$E$3:$E$26,0),MATCH($B$2,Lookups!$F$2:$H$2,0))</f>
        <v/>
      </c>
      <c r="D6" s="6">
        <f>B6*C6</f>
        <v/>
      </c>
      <c r="E6" s="6">
        <f>SUMIFS(Data_Originations!$D:$D,Data_Originations!$A:$A,$A6,Data_Originations!$B:$B,$B$1)</f>
        <v/>
      </c>
      <c r="F6" s="6">
        <f>SUMIFS(Data_Originations!$E:$E,Data_Originations!$A:$A,$A6,Data_Originations!$B:$B,$B$1)</f>
        <v/>
      </c>
      <c r="G6" s="6">
        <f>F6*C6</f>
        <v/>
      </c>
      <c r="H6" s="6">
        <f>SUMIFS(Data_Balances!$G:$G,Data_Balances!$A:$A,EOMONTH($A6,-1),Data_Balances!$B:$B,$B$1,Data_Balances!$E:$E,"&gt;=30")</f>
        <v/>
      </c>
      <c r="I6" s="7">
        <f>IFERROR(H6/SUMIFS(Data_Balances!$G:$G,Data_Balances!$A:$A,$A6,Data_Balances!$B:$B,$B$1),0)</f>
        <v/>
      </c>
      <c r="J6" s="6">
        <f>SUMIFS(Data_Balances!$G:$G,Data_Balances!$A:$A,$A6,Data_Balances!$B:$B,$B$1,Data_Balances!$E:$E,"&gt;=90")</f>
        <v/>
      </c>
      <c r="K6" s="7">
        <f>IFERROR(J6/SUMIFS(Data_Balances!$G:$G,Data_Balances!$A:$A,$A6,Data_Balances!$B:$B,$B$1),0)</f>
        <v/>
      </c>
      <c r="L6" s="6">
        <f>SUMIFS(Data_Applications!$D:$D,Data_Applications!$A:$A,$A6,Data_Applications!$B:$B,$B$1)</f>
        <v/>
      </c>
      <c r="M6" s="6">
        <f>SUMIFS(Data_Applications!$E:$E,Data_Applications!$A:$A,$A6,Data_Applications!$B:$B,$B$1)</f>
        <v/>
      </c>
      <c r="N6" s="7">
        <f>IFERROR(M6/L6,0)</f>
        <v/>
      </c>
      <c r="O6" s="6">
        <f>SUMIFS(Data_Balances!$F:$F,Data_Balances!$A:$A,$A6,Data_Balances!$B:$B,$B$1)</f>
        <v/>
      </c>
      <c r="P6" s="6">
        <f>IFERROR(D6/O6,0)</f>
        <v/>
      </c>
    </row>
    <row r="7">
      <c r="A7" s="5" t="n">
        <v>45626</v>
      </c>
      <c r="B7" s="6">
        <f>SUMIFS(Data_Balances!$G:$G,Data_Balances!$A:$A,$A7,Data_Balances!$B:$B,$B$1,Data_Balances!$H:$H,"Personal Loans")+SUMIFS(Data_Balances!$G:$G,Data_Balances!$A:$A,$A7,Data_Balances!$B:$B,$B$1,Data_Balances!$C:$C,"CC*")</f>
        <v/>
      </c>
      <c r="C7" s="8">
        <f>INDEX(Lookups!$F$3:$H$26,MATCH($A7,Lookups!$E$3:$E$26,0),MATCH($B$2,Lookups!$F$2:$H$2,0))</f>
        <v/>
      </c>
      <c r="D7" s="6">
        <f>B7*C7</f>
        <v/>
      </c>
      <c r="E7" s="6">
        <f>SUMIFS(Data_Originations!$D:$D,Data_Originations!$A:$A,$A7,Data_Originations!$B:$B,$B$1)</f>
        <v/>
      </c>
      <c r="F7" s="6">
        <f>SUMIFS(Data_Originations!$E:$E,Data_Originations!$A:$A,$A7,Data_Originations!$B:$B,$B$1)</f>
        <v/>
      </c>
      <c r="G7" s="6">
        <f>F7*C7</f>
        <v/>
      </c>
      <c r="H7" s="6">
        <f>SUMIFS(Data_Balances!$G:$G,Data_Balances!$A:$A,EOMONTH($A7,-1),Data_Balances!$B:$B,$B$1,Data_Balances!$E:$E,"&gt;=30")</f>
        <v/>
      </c>
      <c r="I7" s="7">
        <f>IFERROR(H7/SUMIFS(Data_Balances!$G:$G,Data_Balances!$A:$A,$A7,Data_Balances!$B:$B,$B$1),0)</f>
        <v/>
      </c>
      <c r="J7" s="6">
        <f>SUMIFS(Data_Balances!$G:$G,Data_Balances!$A:$A,$A7,Data_Balances!$B:$B,$B$1,Data_Balances!$E:$E,"&gt;=90")</f>
        <v/>
      </c>
      <c r="K7" s="7">
        <f>IFERROR(J7/SUMIFS(Data_Balances!$G:$G,Data_Balances!$A:$A,$A7,Data_Balances!$B:$B,$B$1),0)</f>
        <v/>
      </c>
      <c r="L7" s="6">
        <f>SUMIFS(Data_Applications!$D:$D,Data_Applications!$A:$A,$A7,Data_Applications!$B:$B,$B$1)</f>
        <v/>
      </c>
      <c r="M7" s="6">
        <f>SUMIFS(Data_Applications!$E:$E,Data_Applications!$A:$A,$A7,Data_Applications!$B:$B,$B$1)</f>
        <v/>
      </c>
      <c r="N7" s="7">
        <f>IFERROR(M7/L7,0)</f>
        <v/>
      </c>
      <c r="O7" s="6">
        <f>SUMIFS(Data_Balances!$F:$F,Data_Balances!$A:$A,$A7,Data_Balances!$B:$B,$B$1)</f>
        <v/>
      </c>
      <c r="P7" s="6">
        <f>IFERROR(D7/O7,0)</f>
        <v/>
      </c>
    </row>
    <row r="8">
      <c r="A8" s="5" t="n">
        <v>45657</v>
      </c>
      <c r="B8" s="6">
        <f>SUMIFS(Data_Balances!$G:$G,Data_Balances!$A:$A,$A8,Data_Balances!$B:$B,$B$1,Data_Balances!$H:$H,"Personal Loans")+SUMIFS(Data_Balances!$G:$G,Data_Balances!$A:$A,$A8,Data_Balances!$B:$B,$B$1,Data_Balances!$C:$C,"CC*")</f>
        <v/>
      </c>
      <c r="C8" s="8">
        <f>INDEX(Lookups!$F$3:$H$26,MATCH($A8,Lookups!$E$3:$E$26,0),MATCH($B$2,Lookups!$F$2:$H$2,0))</f>
        <v/>
      </c>
      <c r="D8" s="6">
        <f>B8*C8</f>
        <v/>
      </c>
      <c r="E8" s="6">
        <f>SUMIFS(Data_Originations!$D:$D,Data_Originations!$A:$A,$A8,Data_Originations!$B:$B,$B$1)</f>
        <v/>
      </c>
      <c r="F8" s="6">
        <f>SUMIFS(Data_Originations!$E:$E,Data_Originations!$A:$A,$A8,Data_Originations!$B:$B,$B$1)</f>
        <v/>
      </c>
      <c r="G8" s="6">
        <f>F8*C8</f>
        <v/>
      </c>
      <c r="H8" s="6">
        <f>SUMIFS(Data_Balances!$G:$G,Data_Balances!$A:$A,EOMONTH($A8,-1),Data_Balances!$B:$B,$B$1,Data_Balances!$E:$E,"&gt;=30")</f>
        <v/>
      </c>
      <c r="I8" s="7">
        <f>IFERROR(H8/SUMIFS(Data_Balances!$G:$G,Data_Balances!$A:$A,$A8,Data_Balances!$B:$B,$B$1),0)</f>
        <v/>
      </c>
      <c r="J8" s="6">
        <f>SUMIFS(Data_Balances!$G:$G,Data_Balances!$A:$A,$A8,Data_Balances!$B:$B,$B$1,Data_Balances!$E:$E,"&gt;=90")</f>
        <v/>
      </c>
      <c r="K8" s="7">
        <f>IFERROR(J8/SUMIFS(Data_Balances!$G:$G,Data_Balances!$A:$A,$A8,Data_Balances!$B:$B,$B$1),0)</f>
        <v/>
      </c>
      <c r="L8" s="6">
        <f>SUMIFS(Data_Applications!$D:$D,Data_Applications!$A:$A,$A8,Data_Applications!$B:$B,$B$1)</f>
        <v/>
      </c>
      <c r="M8" s="6">
        <f>SUMIFS(Data_Applications!$E:$E,Data_Applications!$A:$A,$A8,Data_Applications!$B:$B,$B$1)</f>
        <v/>
      </c>
      <c r="N8" s="7">
        <f>IFERROR(M8/L8,0)</f>
        <v/>
      </c>
      <c r="O8" s="6">
        <f>SUMIFS(Data_Balances!$F:$F,Data_Balances!$A:$A,$A8,Data_Balances!$B:$B,$B$1)</f>
        <v/>
      </c>
      <c r="P8" s="6">
        <f>IFERROR(D8/O8,0)</f>
        <v/>
      </c>
    </row>
    <row r="9">
      <c r="A9" s="5" t="n">
        <v>45688</v>
      </c>
      <c r="B9" s="6">
        <f>SUMIFS(Data_Balances!$G:$G,Data_Balances!$A:$A,$A9,Data_Balances!$B:$B,$B$1,Data_Balances!$H:$H,"Personal Loans")+SUMIFS(Data_Balances!$G:$G,Data_Balances!$A:$A,$A9,Data_Balances!$B:$B,$B$1,Data_Balances!$C:$C,"CC*")</f>
        <v/>
      </c>
      <c r="C9" s="8">
        <f>INDEX(Lookups!$F$3:$H$26,MATCH($A9,Lookups!$E$3:$E$26,0),MATCH($B$2,Lookups!$F$2:$H$2,0))</f>
        <v/>
      </c>
      <c r="D9" s="6">
        <f>B9*C9</f>
        <v/>
      </c>
      <c r="E9" s="6">
        <f>SUMIFS(Data_Originations!$D:$D,Data_Originations!$A:$A,$A9,Data_Originations!$B:$B,$B$1)</f>
        <v/>
      </c>
      <c r="F9" s="6">
        <f>SUMIFS(Data_Originations!$E:$E,Data_Originations!$A:$A,$A9,Data_Originations!$B:$B,$B$1)</f>
        <v/>
      </c>
      <c r="G9" s="6">
        <f>F9*C9</f>
        <v/>
      </c>
      <c r="H9" s="6">
        <f>SUMIFS(Data_Balances!$G:$G,Data_Balances!$A:$A,EOMONTH($A9,-1),Data_Balances!$B:$B,$B$1,Data_Balances!$E:$E,"&gt;=30")</f>
        <v/>
      </c>
      <c r="I9" s="7">
        <f>IFERROR(H9/SUMIFS(Data_Balances!$G:$G,Data_Balances!$A:$A,$A9,Data_Balances!$B:$B,$B$1),0)</f>
        <v/>
      </c>
      <c r="J9" s="6">
        <f>SUMIFS(Data_Balances!$G:$G,Data_Balances!$A:$A,$A9,Data_Balances!$B:$B,$B$1,Data_Balances!$E:$E,"&gt;=90")</f>
        <v/>
      </c>
      <c r="K9" s="7">
        <f>IFERROR(J9/SUMIFS(Data_Balances!$G:$G,Data_Balances!$A:$A,$A9,Data_Balances!$B:$B,$B$1),0)</f>
        <v/>
      </c>
      <c r="L9" s="6">
        <f>SUMIFS(Data_Applications!$D:$D,Data_Applications!$A:$A,$A9,Data_Applications!$B:$B,$B$1)</f>
        <v/>
      </c>
      <c r="M9" s="6">
        <f>SUMIFS(Data_Applications!$E:$E,Data_Applications!$A:$A,$A9,Data_Applications!$B:$B,$B$1)</f>
        <v/>
      </c>
      <c r="N9" s="7">
        <f>IFERROR(M9/L9,0)</f>
        <v/>
      </c>
      <c r="O9" s="6">
        <f>SUMIFS(Data_Balances!$F:$F,Data_Balances!$A:$A,$A9,Data_Balances!$B:$B,$B$1)</f>
        <v/>
      </c>
      <c r="P9" s="6">
        <f>IFERROR(D9/O9,0)</f>
        <v/>
      </c>
    </row>
    <row r="10">
      <c r="A10" s="5" t="n">
        <v>45716</v>
      </c>
      <c r="B10" s="6">
        <f>SUMIFS(Data_Balances!$G:$G,Data_Balances!$A:$A,$A10,Data_Balances!$B:$B,$B$1,Data_Balances!$H:$H,"Personal Loans")+SUMIFS(Data_Balances!$G:$G,Data_Balances!$A:$A,$A10,Data_Balances!$B:$B,$B$1,Data_Balances!$C:$C,"CC*")</f>
        <v/>
      </c>
      <c r="C10" s="8">
        <f>INDEX(Lookups!$F$3:$H$26,MATCH($A10,Lookups!$E$3:$E$26,0),MATCH($B$2,Lookups!$F$2:$H$2,0))</f>
        <v/>
      </c>
      <c r="D10" s="6">
        <f>B10*C10</f>
        <v/>
      </c>
      <c r="E10" s="6">
        <f>SUMIFS(Data_Originations!$D:$D,Data_Originations!$A:$A,$A10,Data_Originations!$B:$B,$B$1)</f>
        <v/>
      </c>
      <c r="F10" s="6">
        <f>SUMIFS(Data_Originations!$E:$E,Data_Originations!$A:$A,$A10,Data_Originations!$B:$B,$B$1)</f>
        <v/>
      </c>
      <c r="G10" s="6">
        <f>F10*C10</f>
        <v/>
      </c>
      <c r="H10" s="6">
        <f>SUMIFS(Data_Balances!$G:$G,Data_Balances!$A:$A,EOMONTH($A10,-1),Data_Balances!$B:$B,$B$1,Data_Balances!$E:$E,"&gt;=30")</f>
        <v/>
      </c>
      <c r="I10" s="7">
        <f>IFERROR(H10/SUMIFS(Data_Balances!$G:$G,Data_Balances!$A:$A,$A10,Data_Balances!$B:$B,$B$1),0)</f>
        <v/>
      </c>
      <c r="J10" s="6">
        <f>SUMIFS(Data_Balances!$G:$G,Data_Balances!$A:$A,$A10,Data_Balances!$B:$B,$B$1,Data_Balances!$E:$E,"&gt;=90")</f>
        <v/>
      </c>
      <c r="K10" s="7">
        <f>IFERROR(J10/SUMIFS(Data_Balances!$G:$G,Data_Balances!$A:$A,$A10,Data_Balances!$B:$B,$B$1),0)</f>
        <v/>
      </c>
      <c r="L10" s="6">
        <f>SUMIFS(Data_Applications!$D:$D,Data_Applications!$A:$A,$A10,Data_Applications!$B:$B,$B$1)</f>
        <v/>
      </c>
      <c r="M10" s="6">
        <f>SUMIFS(Data_Applications!$E:$E,Data_Applications!$A:$A,$A10,Data_Applications!$B:$B,$B$1)</f>
        <v/>
      </c>
      <c r="N10" s="7">
        <f>IFERROR(M10/L10,0)</f>
        <v/>
      </c>
      <c r="O10" s="6">
        <f>SUMIFS(Data_Balances!$F:$F,Data_Balances!$A:$A,$A10,Data_Balances!$B:$B,$B$1)</f>
        <v/>
      </c>
      <c r="P10" s="6">
        <f>IFERROR(D10/O10,0)</f>
        <v/>
      </c>
    </row>
    <row r="11">
      <c r="A11" s="5" t="n">
        <v>45747</v>
      </c>
      <c r="B11" s="6">
        <f>SUMIFS(Data_Balances!$G:$G,Data_Balances!$A:$A,$A11,Data_Balances!$B:$B,$B$1,Data_Balances!$H:$H,"Personal Loans")+SUMIFS(Data_Balances!$G:$G,Data_Balances!$A:$A,$A11,Data_Balances!$B:$B,$B$1,Data_Balances!$C:$C,"CC*")</f>
        <v/>
      </c>
      <c r="C11" s="8">
        <f>INDEX(Lookups!$F$3:$H$26,MATCH($A11,Lookups!$E$3:$E$26,0),MATCH($B$2,Lookups!$F$2:$H$2,0))</f>
        <v/>
      </c>
      <c r="D11" s="6">
        <f>B11*C11</f>
        <v/>
      </c>
      <c r="E11" s="6">
        <f>SUMIFS(Data_Originations!$D:$D,Data_Originations!$A:$A,$A11,Data_Originations!$B:$B,$B$1)</f>
        <v/>
      </c>
      <c r="F11" s="6">
        <f>SUMIFS(Data_Originations!$E:$E,Data_Originations!$A:$A,$A11,Data_Originations!$B:$B,$B$1)</f>
        <v/>
      </c>
      <c r="G11" s="6">
        <f>F11*C11</f>
        <v/>
      </c>
      <c r="H11" s="6">
        <f>SUMIFS(Data_Balances!$G:$G,Data_Balances!$A:$A,EOMONTH($A11,-1),Data_Balances!$B:$B,$B$1,Data_Balances!$E:$E,"&gt;=30")</f>
        <v/>
      </c>
      <c r="I11" s="7">
        <f>IFERROR(H11/SUMIFS(Data_Balances!$G:$G,Data_Balances!$A:$A,$A11,Data_Balances!$B:$B,$B$1),0)</f>
        <v/>
      </c>
      <c r="J11" s="6">
        <f>SUMIFS(Data_Balances!$G:$G,Data_Balances!$A:$A,$A11,Data_Balances!$B:$B,$B$1,Data_Balances!$E:$E,"&gt;=90")</f>
        <v/>
      </c>
      <c r="K11" s="7">
        <f>IFERROR(J11/SUMIFS(Data_Balances!$G:$G,Data_Balances!$A:$A,$A11,Data_Balances!$B:$B,$B$1),0)</f>
        <v/>
      </c>
      <c r="L11" s="6">
        <f>SUMIFS(Data_Applications!$D:$D,Data_Applications!$A:$A,$A11,Data_Applications!$B:$B,$B$1)</f>
        <v/>
      </c>
      <c r="M11" s="6">
        <f>SUMIFS(Data_Applications!$E:$E,Data_Applications!$A:$A,$A11,Data_Applications!$B:$B,$B$1)</f>
        <v/>
      </c>
      <c r="N11" s="7">
        <f>IFERROR(M11/L11,0)</f>
        <v/>
      </c>
      <c r="O11" s="6">
        <f>SUMIFS(Data_Balances!$F:$F,Data_Balances!$A:$A,$A11,Data_Balances!$B:$B,$B$1)</f>
        <v/>
      </c>
      <c r="P11" s="6">
        <f>IFERROR(D11/O11,0)</f>
        <v/>
      </c>
    </row>
    <row r="12">
      <c r="A12" s="5" t="n">
        <v>45777</v>
      </c>
      <c r="B12" s="6">
        <f>SUMIFS(Data_Balances!$G:$G,Data_Balances!$A:$A,$A12,Data_Balances!$B:$B,$B$1,Data_Balances!$H:$H,"Personal Loans")+SUMIFS(Data_Balances!$G:$G,Data_Balances!$A:$A,$A12,Data_Balances!$B:$B,$B$1,Data_Balances!$C:$C,"CC*")</f>
        <v/>
      </c>
      <c r="C12" s="8">
        <f>INDEX(Lookups!$F$3:$H$26,MATCH($A12,Lookups!$E$3:$E$26,0),MATCH($B$2,Lookups!$F$2:$H$2,0))</f>
        <v/>
      </c>
      <c r="D12" s="6">
        <f>B12*C12</f>
        <v/>
      </c>
      <c r="E12" s="6">
        <f>SUMIFS(Data_Originations!$D:$D,Data_Originations!$A:$A,$A12,Data_Originations!$B:$B,$B$1)</f>
        <v/>
      </c>
      <c r="F12" s="6">
        <f>SUMIFS(Data_Originations!$E:$E,Data_Originations!$A:$A,$A12,Data_Originations!$B:$B,$B$1)</f>
        <v/>
      </c>
      <c r="G12" s="6">
        <f>F12*C12</f>
        <v/>
      </c>
      <c r="H12" s="6">
        <f>SUMIFS(Data_Balances!$G:$G,Data_Balances!$A:$A,EOMONTH($A12,-1),Data_Balances!$B:$B,$B$1,Data_Balances!$E:$E,"&gt;=30")</f>
        <v/>
      </c>
      <c r="I12" s="7">
        <f>IFERROR(H12/SUMIFS(Data_Balances!$G:$G,Data_Balances!$A:$A,$A12,Data_Balances!$B:$B,$B$1),0)</f>
        <v/>
      </c>
      <c r="J12" s="6">
        <f>SUMIFS(Data_Balances!$G:$G,Data_Balances!$A:$A,$A12,Data_Balances!$B:$B,$B$1,Data_Balances!$E:$E,"&gt;=90")</f>
        <v/>
      </c>
      <c r="K12" s="7">
        <f>IFERROR(J12/SUMIFS(Data_Balances!$G:$G,Data_Balances!$A:$A,$A12,Data_Balances!$B:$B,$B$1),0)</f>
        <v/>
      </c>
      <c r="L12" s="6">
        <f>SUMIFS(Data_Applications!$D:$D,Data_Applications!$A:$A,$A12,Data_Applications!$B:$B,$B$1)</f>
        <v/>
      </c>
      <c r="M12" s="6">
        <f>SUMIFS(Data_Applications!$E:$E,Data_Applications!$A:$A,$A12,Data_Applications!$B:$B,$B$1)</f>
        <v/>
      </c>
      <c r="N12" s="7">
        <f>IFERROR(M12/L12,0)</f>
        <v/>
      </c>
      <c r="O12" s="6">
        <f>SUMIFS(Data_Balances!$F:$F,Data_Balances!$A:$A,$A12,Data_Balances!$B:$B,$B$1)</f>
        <v/>
      </c>
      <c r="P12" s="6">
        <f>IFERROR(D12/O12,0)</f>
        <v/>
      </c>
    </row>
    <row r="13">
      <c r="A13" s="5" t="n">
        <v>45808</v>
      </c>
      <c r="B13" s="6">
        <f>SUMIFS(Data_Balances!$G:$G,Data_Balances!$A:$A,$A13,Data_Balances!$B:$B,$B$1,Data_Balances!$H:$H,"Personal Loans")+SUMIFS(Data_Balances!$G:$G,Data_Balances!$A:$A,$A13,Data_Balances!$B:$B,$B$1,Data_Balances!$C:$C,"CC*")</f>
        <v/>
      </c>
      <c r="C13" s="8">
        <f>INDEX(Lookups!$F$3:$H$26,MATCH($A13,Lookups!$E$3:$E$26,0),MATCH($B$2,Lookups!$F$2:$H$2,0))</f>
        <v/>
      </c>
      <c r="D13" s="6">
        <f>B13*C13</f>
        <v/>
      </c>
      <c r="E13" s="6">
        <f>SUMIFS(Data_Originations!$D:$D,Data_Originations!$A:$A,$A13,Data_Originations!$B:$B,$B$1)</f>
        <v/>
      </c>
      <c r="F13" s="6">
        <f>SUMIFS(Data_Originations!$E:$E,Data_Originations!$A:$A,$A13,Data_Originations!$B:$B,$B$1)</f>
        <v/>
      </c>
      <c r="G13" s="6">
        <f>F13*C13</f>
        <v/>
      </c>
      <c r="H13" s="6">
        <f>SUMIFS(Data_Balances!$G:$G,Data_Balances!$A:$A,EOMONTH($A13,-1),Data_Balances!$B:$B,$B$1,Data_Balances!$E:$E,"&gt;=30")</f>
        <v/>
      </c>
      <c r="I13" s="7">
        <f>IFERROR(H13/SUMIFS(Data_Balances!$G:$G,Data_Balances!$A:$A,$A13,Data_Balances!$B:$B,$B$1),0)</f>
        <v/>
      </c>
      <c r="J13" s="6">
        <f>SUMIFS(Data_Balances!$G:$G,Data_Balances!$A:$A,$A13,Data_Balances!$B:$B,$B$1,Data_Balances!$E:$E,"&gt;=90")</f>
        <v/>
      </c>
      <c r="K13" s="7">
        <f>IFERROR(J13/SUMIFS(Data_Balances!$G:$G,Data_Balances!$A:$A,$A13,Data_Balances!$B:$B,$B$1),0)</f>
        <v/>
      </c>
      <c r="L13" s="6">
        <f>SUMIFS(Data_Applications!$D:$D,Data_Applications!$A:$A,$A13,Data_Applications!$B:$B,$B$1)</f>
        <v/>
      </c>
      <c r="M13" s="6">
        <f>SUMIFS(Data_Applications!$E:$E,Data_Applications!$A:$A,$A13,Data_Applications!$B:$B,$B$1)</f>
        <v/>
      </c>
      <c r="N13" s="7">
        <f>IFERROR(M13/L13,0)</f>
        <v/>
      </c>
      <c r="O13" s="6">
        <f>SUMIFS(Data_Balances!$F:$F,Data_Balances!$A:$A,$A13,Data_Balances!$B:$B,$B$1)</f>
        <v/>
      </c>
      <c r="P13" s="6">
        <f>IFERROR(D13/O13,0)</f>
        <v/>
      </c>
    </row>
    <row r="14">
      <c r="A14" s="5" t="n">
        <v>45838</v>
      </c>
      <c r="B14" s="6">
        <f>SUMIFS(Data_Balances!$G:$G,Data_Balances!$A:$A,$A14,Data_Balances!$B:$B,$B$1,Data_Balances!$H:$H,"Personal Loans")+SUMIFS(Data_Balances!$G:$G,Data_Balances!$A:$A,$A14,Data_Balances!$B:$B,$B$1,Data_Balances!$C:$C,"CC*")</f>
        <v/>
      </c>
      <c r="C14" s="8">
        <f>INDEX(Lookups!$F$3:$H$26,MATCH($A14,Lookups!$E$3:$E$26,0),MATCH($B$2,Lookups!$F$2:$H$2,0))</f>
        <v/>
      </c>
      <c r="D14" s="6">
        <f>B14*C14</f>
        <v/>
      </c>
      <c r="E14" s="6">
        <f>SUMIFS(Data_Originations!$D:$D,Data_Originations!$A:$A,$A14,Data_Originations!$B:$B,$B$1)</f>
        <v/>
      </c>
      <c r="F14" s="6">
        <f>SUMIFS(Data_Originations!$E:$E,Data_Originations!$A:$A,$A14,Data_Originations!$B:$B,$B$1)</f>
        <v/>
      </c>
      <c r="G14" s="6">
        <f>F14*C14</f>
        <v/>
      </c>
      <c r="H14" s="6">
        <f>SUMIFS(Data_Balances!$G:$G,Data_Balances!$A:$A,EOMONTH($A14,-1),Data_Balances!$B:$B,$B$1,Data_Balances!$E:$E,"&gt;=30")</f>
        <v/>
      </c>
      <c r="I14" s="7">
        <f>IFERROR(H14/SUMIFS(Data_Balances!$G:$G,Data_Balances!$A:$A,$A14,Data_Balances!$B:$B,$B$1),0)</f>
        <v/>
      </c>
      <c r="J14" s="6">
        <f>SUMIFS(Data_Balances!$G:$G,Data_Balances!$A:$A,$A14,Data_Balances!$B:$B,$B$1,Data_Balances!$E:$E,"&gt;=90")</f>
        <v/>
      </c>
      <c r="K14" s="7">
        <f>IFERROR(J14/SUMIFS(Data_Balances!$G:$G,Data_Balances!$A:$A,$A14,Data_Balances!$B:$B,$B$1),0)</f>
        <v/>
      </c>
      <c r="L14" s="6">
        <f>SUMIFS(Data_Applications!$D:$D,Data_Applications!$A:$A,$A14,Data_Applications!$B:$B,$B$1)</f>
        <v/>
      </c>
      <c r="M14" s="6">
        <f>SUMIFS(Data_Applications!$E:$E,Data_Applications!$A:$A,$A14,Data_Applications!$B:$B,$B$1)</f>
        <v/>
      </c>
      <c r="N14" s="7">
        <f>IFERROR(M14/L14,0)</f>
        <v/>
      </c>
      <c r="O14" s="6">
        <f>SUMIFS(Data_Balances!$F:$F,Data_Balances!$A:$A,$A14,Data_Balances!$B:$B,$B$1)</f>
        <v/>
      </c>
      <c r="P14" s="6">
        <f>IFERROR(D14/O14,0)</f>
        <v/>
      </c>
    </row>
    <row r="15">
      <c r="A15" s="5" t="n">
        <v>45869</v>
      </c>
      <c r="B15" s="6">
        <f>SUMIFS(Data_Balances!$G:$G,Data_Balances!$A:$A,$A15,Data_Balances!$B:$B,$B$1,Data_Balances!$H:$H,"Personal Loans")+SUMIFS(Data_Balances!$G:$G,Data_Balances!$A:$A,$A15,Data_Balances!$B:$B,$B$1,Data_Balances!$C:$C,"CC*")</f>
        <v/>
      </c>
      <c r="C15" s="8">
        <f>INDEX(Lookups!$F$3:$H$26,MATCH($A15,Lookups!$E$3:$E$26,0),MATCH($B$2,Lookups!$F$2:$H$2,0))</f>
        <v/>
      </c>
      <c r="D15" s="6">
        <f>B15*C15</f>
        <v/>
      </c>
      <c r="E15" s="6">
        <f>SUMIFS(Data_Originations!$D:$D,Data_Originations!$A:$A,$A15,Data_Originations!$B:$B,$B$1)</f>
        <v/>
      </c>
      <c r="F15" s="6">
        <f>SUMIFS(Data_Originations!$E:$E,Data_Originations!$A:$A,$A15,Data_Originations!$B:$B,$B$1)</f>
        <v/>
      </c>
      <c r="G15" s="6">
        <f>F15*C15</f>
        <v/>
      </c>
      <c r="H15" s="6">
        <f>SUMIFS(Data_Balances!$G:$G,Data_Balances!$A:$A,EOMONTH($A15,-1),Data_Balances!$B:$B,$B$1,Data_Balances!$E:$E,"&gt;=30")</f>
        <v/>
      </c>
      <c r="I15" s="7">
        <f>IFERROR(H15/SUMIFS(Data_Balances!$G:$G,Data_Balances!$A:$A,$A15,Data_Balances!$B:$B,$B$1),0)</f>
        <v/>
      </c>
      <c r="J15" s="6">
        <f>SUMIFS(Data_Balances!$G:$G,Data_Balances!$A:$A,$A15,Data_Balances!$B:$B,$B$1,Data_Balances!$E:$E,"&gt;=90")</f>
        <v/>
      </c>
      <c r="K15" s="7">
        <f>IFERROR(J15/SUMIFS(Data_Balances!$G:$G,Data_Balances!$A:$A,$A15,Data_Balances!$B:$B,$B$1),0)</f>
        <v/>
      </c>
      <c r="L15" s="6">
        <f>SUMIFS(Data_Applications!$D:$D,Data_Applications!$A:$A,$A15,Data_Applications!$B:$B,$B$1)</f>
        <v/>
      </c>
      <c r="M15" s="6">
        <f>SUMIFS(Data_Applications!$E:$E,Data_Applications!$A:$A,$A15,Data_Applications!$B:$B,$B$1)</f>
        <v/>
      </c>
      <c r="N15" s="7">
        <f>IFERROR(M15/L15,0)</f>
        <v/>
      </c>
      <c r="O15" s="6">
        <f>SUMIFS(Data_Balances!$F:$F,Data_Balances!$A:$A,$A15,Data_Balances!$B:$B,$B$1)</f>
        <v/>
      </c>
      <c r="P15" s="6">
        <f>IFERROR(D15/O15,0)</f>
        <v/>
      </c>
    </row>
    <row r="16">
      <c r="A16" s="5" t="n">
        <v>45900</v>
      </c>
      <c r="B16" s="6">
        <f>SUMIFS(Data_Balances!$G:$G,Data_Balances!$A:$A,$A16,Data_Balances!$B:$B,$B$1,Data_Balances!$H:$H,"Personal Loans")+SUMIFS(Data_Balances!$G:$G,Data_Balances!$A:$A,$A16,Data_Balances!$B:$B,$B$1,Data_Balances!$C:$C,"CC*")</f>
        <v/>
      </c>
      <c r="C16" s="8">
        <f>INDEX(Lookups!$F$3:$H$26,MATCH($A16,Lookups!$E$3:$E$26,0),MATCH($B$2,Lookups!$F$2:$H$2,0))</f>
        <v/>
      </c>
      <c r="D16" s="6">
        <f>B16*C16</f>
        <v/>
      </c>
      <c r="E16" s="6">
        <f>SUMIFS(Data_Originations!$D:$D,Data_Originations!$A:$A,$A16,Data_Originations!$B:$B,$B$1)</f>
        <v/>
      </c>
      <c r="F16" s="6">
        <f>SUMIFS(Data_Originations!$E:$E,Data_Originations!$A:$A,$A16,Data_Originations!$B:$B,$B$1)</f>
        <v/>
      </c>
      <c r="G16" s="6">
        <f>F16*C16</f>
        <v/>
      </c>
      <c r="H16" s="6">
        <f>SUMIFS(Data_Balances!$G:$G,Data_Balances!$A:$A,EOMONTH($A16,-1),Data_Balances!$B:$B,$B$1,Data_Balances!$E:$E,"&gt;=30")</f>
        <v/>
      </c>
      <c r="I16" s="7">
        <f>IFERROR(H16/SUMIFS(Data_Balances!$G:$G,Data_Balances!$A:$A,$A16,Data_Balances!$B:$B,$B$1),0)</f>
        <v/>
      </c>
      <c r="J16" s="6">
        <f>SUMIFS(Data_Balances!$G:$G,Data_Balances!$A:$A,$A16,Data_Balances!$B:$B,$B$1,Data_Balances!$E:$E,"&gt;=90")</f>
        <v/>
      </c>
      <c r="K16" s="7">
        <f>IFERROR(J16/SUMIFS(Data_Balances!$G:$G,Data_Balances!$A:$A,$A16,Data_Balances!$B:$B,$B$1),0)</f>
        <v/>
      </c>
      <c r="L16" s="6">
        <f>SUMIFS(Data_Applications!$D:$D,Data_Applications!$A:$A,$A16,Data_Applications!$B:$B,$B$1)</f>
        <v/>
      </c>
      <c r="M16" s="6">
        <f>SUMIFS(Data_Applications!$E:$E,Data_Applications!$A:$A,$A16,Data_Applications!$B:$B,$B$1)</f>
        <v/>
      </c>
      <c r="N16" s="7">
        <f>IFERROR(M16/L16,0)</f>
        <v/>
      </c>
      <c r="O16" s="6">
        <f>SUMIFS(Data_Balances!$F:$F,Data_Balances!$A:$A,$A16,Data_Balances!$B:$B,$B$1)</f>
        <v/>
      </c>
      <c r="P16" s="6">
        <f>IFERROR(D16/O16,0)</f>
        <v/>
      </c>
    </row>
    <row r="17">
      <c r="A17" s="5" t="n">
        <v>45930</v>
      </c>
      <c r="B17" s="6">
        <f>SUMIFS(Data_Balances!$G:$G,Data_Balances!$A:$A,$A17,Data_Balances!$B:$B,$B$1,Data_Balances!$H:$H,"Personal Loans")+SUMIFS(Data_Balances!$G:$G,Data_Balances!$A:$A,$A17,Data_Balances!$B:$B,$B$1,Data_Balances!$C:$C,"CC*")</f>
        <v/>
      </c>
      <c r="C17" s="8">
        <f>INDEX(Lookups!$F$3:$H$26,MATCH($A17,Lookups!$E$3:$E$26,0),MATCH($B$2,Lookups!$F$2:$H$2,0))</f>
        <v/>
      </c>
      <c r="D17" s="6">
        <f>B17*C17</f>
        <v/>
      </c>
      <c r="E17" s="6">
        <f>SUMIFS(Data_Originations!$D:$D,Data_Originations!$A:$A,$A17,Data_Originations!$B:$B,$B$1)</f>
        <v/>
      </c>
      <c r="F17" s="6">
        <f>SUMIFS(Data_Originations!$E:$E,Data_Originations!$A:$A,$A17,Data_Originations!$B:$B,$B$1)</f>
        <v/>
      </c>
      <c r="G17" s="6">
        <f>F17*C17</f>
        <v/>
      </c>
      <c r="H17" s="6">
        <f>SUMIFS(Data_Balances!$G:$G,Data_Balances!$A:$A,EOMONTH($A17,-1),Data_Balances!$B:$B,$B$1,Data_Balances!$E:$E,"&gt;=30")</f>
        <v/>
      </c>
      <c r="I17" s="7">
        <f>IFERROR(H17/SUMIFS(Data_Balances!$G:$G,Data_Balances!$A:$A,$A17,Data_Balances!$B:$B,$B$1),0)</f>
        <v/>
      </c>
      <c r="J17" s="6">
        <f>SUMIFS(Data_Balances!$G:$G,Data_Balances!$A:$A,$A17,Data_Balances!$B:$B,$B$1,Data_Balances!$E:$E,"&gt;=90")</f>
        <v/>
      </c>
      <c r="K17" s="7">
        <f>IFERROR(J17/SUMIFS(Data_Balances!$G:$G,Data_Balances!$A:$A,$A17,Data_Balances!$B:$B,$B$1),0)</f>
        <v/>
      </c>
      <c r="L17" s="6">
        <f>SUMIFS(Data_Applications!$D:$D,Data_Applications!$A:$A,$A17,Data_Applications!$B:$B,$B$1)</f>
        <v/>
      </c>
      <c r="M17" s="6">
        <f>SUMIFS(Data_Applications!$E:$E,Data_Applications!$A:$A,$A17,Data_Applications!$B:$B,$B$1)</f>
        <v/>
      </c>
      <c r="N17" s="7">
        <f>IFERROR(M17/L17,0)</f>
        <v/>
      </c>
      <c r="O17" s="6">
        <f>SUMIFS(Data_Balances!$F:$F,Data_Balances!$A:$A,$A17,Data_Balances!$B:$B,$B$1)</f>
        <v/>
      </c>
      <c r="P17" s="6">
        <f>IFERROR(D17/O17,0)</f>
        <v/>
      </c>
    </row>
    <row r="18">
      <c r="A18" s="5" t="n">
        <v>45961</v>
      </c>
      <c r="B18" s="6">
        <f>SUMIFS(Data_Balances!$G:$G,Data_Balances!$A:$A,$A18,Data_Balances!$B:$B,$B$1,Data_Balances!$H:$H,"Personal Loans")+SUMIFS(Data_Balances!$G:$G,Data_Balances!$A:$A,$A18,Data_Balances!$B:$B,$B$1,Data_Balances!$C:$C,"CC*")</f>
        <v/>
      </c>
      <c r="C18" s="8">
        <f>INDEX(Lookups!$F$3:$H$26,MATCH($A18,Lookups!$E$3:$E$26,0),MATCH($B$2,Lookups!$F$2:$H$2,0))</f>
        <v/>
      </c>
      <c r="D18" s="6">
        <f>B18*C18</f>
        <v/>
      </c>
      <c r="E18" s="6">
        <f>SUMIFS(Data_Originations!$D:$D,Data_Originations!$A:$A,$A18,Data_Originations!$B:$B,$B$1)</f>
        <v/>
      </c>
      <c r="F18" s="6">
        <f>SUMIFS(Data_Originations!$E:$E,Data_Originations!$A:$A,$A18,Data_Originations!$B:$B,$B$1)</f>
        <v/>
      </c>
      <c r="G18" s="6">
        <f>F18*C18</f>
        <v/>
      </c>
      <c r="H18" s="6">
        <f>SUMIFS(Data_Balances!$G:$G,Data_Balances!$A:$A,EOMONTH($A18,-1),Data_Balances!$B:$B,$B$1,Data_Balances!$E:$E,"&gt;=30")</f>
        <v/>
      </c>
      <c r="I18" s="7">
        <f>IFERROR(H18/SUMIFS(Data_Balances!$G:$G,Data_Balances!$A:$A,$A18,Data_Balances!$B:$B,$B$1),0)</f>
        <v/>
      </c>
      <c r="J18" s="6">
        <f>SUMIFS(Data_Balances!$G:$G,Data_Balances!$A:$A,$A18,Data_Balances!$B:$B,$B$1,Data_Balances!$E:$E,"&gt;=90")</f>
        <v/>
      </c>
      <c r="K18" s="7">
        <f>IFERROR(J18/SUMIFS(Data_Balances!$G:$G,Data_Balances!$A:$A,$A18,Data_Balances!$B:$B,$B$1),0)</f>
        <v/>
      </c>
      <c r="L18" s="6">
        <f>SUMIFS(Data_Applications!$D:$D,Data_Applications!$A:$A,$A18,Data_Applications!$B:$B,$B$1)</f>
        <v/>
      </c>
      <c r="M18" s="6">
        <f>SUMIFS(Data_Applications!$E:$E,Data_Applications!$A:$A,$A18,Data_Applications!$B:$B,$B$1)</f>
        <v/>
      </c>
      <c r="N18" s="7">
        <f>IFERROR(M18/L18,0)</f>
        <v/>
      </c>
      <c r="O18" s="6">
        <f>SUMIFS(Data_Balances!$F:$F,Data_Balances!$A:$A,$A18,Data_Balances!$B:$B,$B$1)</f>
        <v/>
      </c>
      <c r="P18" s="6">
        <f>IFERROR(D18/O18,0)</f>
        <v/>
      </c>
    </row>
    <row r="19">
      <c r="A19" s="5" t="n">
        <v>45991</v>
      </c>
      <c r="B19" s="6">
        <f>SUMIFS(Data_Balances!$G:$G,Data_Balances!$A:$A,$A19,Data_Balances!$B:$B,$B$1,Data_Balances!$H:$H,"Personal Loans")+SUMIFS(Data_Balances!$G:$G,Data_Balances!$A:$A,$A19,Data_Balances!$B:$B,$B$1,Data_Balances!$C:$C,"CC*")</f>
        <v/>
      </c>
      <c r="C19" s="8">
        <f>INDEX(Lookups!$F$3:$H$26,MATCH($A19,Lookups!$E$3:$E$26,0),MATCH($B$2,Lookups!$F$2:$H$2,0))</f>
        <v/>
      </c>
      <c r="D19" s="6">
        <f>B19*C19</f>
        <v/>
      </c>
      <c r="E19" s="6">
        <f>SUMIFS(Data_Originations!$D:$D,Data_Originations!$A:$A,$A19,Data_Originations!$B:$B,$B$1)</f>
        <v/>
      </c>
      <c r="F19" s="6">
        <f>SUMIFS(Data_Originations!$E:$E,Data_Originations!$A:$A,$A19,Data_Originations!$B:$B,$B$1)</f>
        <v/>
      </c>
      <c r="G19" s="6">
        <f>F19*C19</f>
        <v/>
      </c>
      <c r="H19" s="6">
        <f>SUMIFS(Data_Balances!$G:$G,Data_Balances!$A:$A,EOMONTH($A19,-1),Data_Balances!$B:$B,$B$1,Data_Balances!$E:$E,"&gt;=30")</f>
        <v/>
      </c>
      <c r="I19" s="7">
        <f>IFERROR(H19/SUMIFS(Data_Balances!$G:$G,Data_Balances!$A:$A,$A19,Data_Balances!$B:$B,$B$1),0)</f>
        <v/>
      </c>
      <c r="J19" s="6">
        <f>SUMIFS(Data_Balances!$G:$G,Data_Balances!$A:$A,$A19,Data_Balances!$B:$B,$B$1,Data_Balances!$E:$E,"&gt;=90")</f>
        <v/>
      </c>
      <c r="K19" s="7">
        <f>IFERROR(J19/SUMIFS(Data_Balances!$G:$G,Data_Balances!$A:$A,$A19,Data_Balances!$B:$B,$B$1),0)</f>
        <v/>
      </c>
      <c r="L19" s="6">
        <f>SUMIFS(Data_Applications!$D:$D,Data_Applications!$A:$A,$A19,Data_Applications!$B:$B,$B$1)</f>
        <v/>
      </c>
      <c r="M19" s="6">
        <f>SUMIFS(Data_Applications!$E:$E,Data_Applications!$A:$A,$A19,Data_Applications!$B:$B,$B$1)</f>
        <v/>
      </c>
      <c r="N19" s="7">
        <f>IFERROR(M19/L19,0)</f>
        <v/>
      </c>
      <c r="O19" s="6">
        <f>SUMIFS(Data_Balances!$F:$F,Data_Balances!$A:$A,$A19,Data_Balances!$B:$B,$B$1)</f>
        <v/>
      </c>
      <c r="P19" s="6">
        <f>IFERROR(D19/O19,0)</f>
        <v/>
      </c>
    </row>
    <row r="20">
      <c r="A20" s="5" t="n">
        <v>46022</v>
      </c>
      <c r="B20" s="6">
        <f>SUMIFS(Data_Balances!$G:$G,Data_Balances!$A:$A,$A20,Data_Balances!$B:$B,$B$1,Data_Balances!$H:$H,"Personal Loans")+SUMIFS(Data_Balances!$G:$G,Data_Balances!$A:$A,$A20,Data_Balances!$B:$B,$B$1,Data_Balances!$C:$C,"CC*")</f>
        <v/>
      </c>
      <c r="C20" s="8">
        <f>INDEX(Lookups!$F$3:$H$26,MATCH($A20,Lookups!$E$3:$E$26,0),MATCH($B$2,Lookups!$F$2:$H$2,0))</f>
        <v/>
      </c>
      <c r="D20" s="6">
        <f>B20*C20</f>
        <v/>
      </c>
      <c r="E20" s="6">
        <f>SUMIFS(Data_Originations!$D:$D,Data_Originations!$A:$A,$A20,Data_Originations!$B:$B,$B$1)</f>
        <v/>
      </c>
      <c r="F20" s="6">
        <f>SUMIFS(Data_Originations!$E:$E,Data_Originations!$A:$A,$A20,Data_Originations!$B:$B,$B$1)</f>
        <v/>
      </c>
      <c r="G20" s="6">
        <f>F20*C20</f>
        <v/>
      </c>
      <c r="H20" s="6">
        <f>SUMIFS(Data_Balances!$G:$G,Data_Balances!$A:$A,EOMONTH($A20,-1),Data_Balances!$B:$B,$B$1,Data_Balances!$E:$E,"&gt;=30")</f>
        <v/>
      </c>
      <c r="I20" s="7">
        <f>IFERROR(H20/SUMIFS(Data_Balances!$G:$G,Data_Balances!$A:$A,$A20,Data_Balances!$B:$B,$B$1),0)</f>
        <v/>
      </c>
      <c r="J20" s="6">
        <f>SUMIFS(Data_Balances!$G:$G,Data_Balances!$A:$A,$A20,Data_Balances!$B:$B,$B$1,Data_Balances!$E:$E,"&gt;=90")</f>
        <v/>
      </c>
      <c r="K20" s="7">
        <f>IFERROR(J20/SUMIFS(Data_Balances!$G:$G,Data_Balances!$A:$A,$A20,Data_Balances!$B:$B,$B$1),0)</f>
        <v/>
      </c>
      <c r="L20" s="6">
        <f>SUMIFS(Data_Applications!$D:$D,Data_Applications!$A:$A,$A20,Data_Applications!$B:$B,$B$1)</f>
        <v/>
      </c>
      <c r="M20" s="6">
        <f>SUMIFS(Data_Applications!$E:$E,Data_Applications!$A:$A,$A20,Data_Applications!$B:$B,$B$1)</f>
        <v/>
      </c>
      <c r="N20" s="7">
        <f>IFERROR(M20/L20,0)</f>
        <v/>
      </c>
      <c r="O20" s="6">
        <f>SUMIFS(Data_Balances!$F:$F,Data_Balances!$A:$A,$A20,Data_Balances!$B:$B,$B$1)</f>
        <v/>
      </c>
      <c r="P20" s="6">
        <f>IFERROR(D20/O20,0)</f>
        <v/>
      </c>
    </row>
    <row r="21">
      <c r="A21" s="5" t="n">
        <v>46053</v>
      </c>
      <c r="B21" s="6">
        <f>SUMIFS(Data_Balances!$G:$G,Data_Balances!$A:$A,$A21,Data_Balances!$B:$B,$B$1,Data_Balances!$H:$H,"Personal Loans")+SUMIFS(Data_Balances!$G:$G,Data_Balances!$A:$A,$A21,Data_Balances!$B:$B,$B$1,Data_Balances!$C:$C,"CC*")</f>
        <v/>
      </c>
      <c r="C21" s="8">
        <f>INDEX(Lookups!$F$3:$H$26,MATCH($A21,Lookups!$E$3:$E$26,0),MATCH($B$2,Lookups!$F$2:$H$2,0))</f>
        <v/>
      </c>
      <c r="D21" s="6">
        <f>B21*C21</f>
        <v/>
      </c>
      <c r="E21" s="6">
        <f>SUMIFS(Data_Originations!$D:$D,Data_Originations!$A:$A,$A21,Data_Originations!$B:$B,$B$1)</f>
        <v/>
      </c>
      <c r="F21" s="6">
        <f>SUMIFS(Data_Originations!$E:$E,Data_Originations!$A:$A,$A21,Data_Originations!$B:$B,$B$1)</f>
        <v/>
      </c>
      <c r="G21" s="6">
        <f>F21*C21</f>
        <v/>
      </c>
      <c r="H21" s="6">
        <f>SUMIFS(Data_Balances!$G:$G,Data_Balances!$A:$A,EOMONTH($A21,-1),Data_Balances!$B:$B,$B$1,Data_Balances!$E:$E,"&gt;=30")</f>
        <v/>
      </c>
      <c r="I21" s="7">
        <f>IFERROR(H21/SUMIFS(Data_Balances!$G:$G,Data_Balances!$A:$A,$A21,Data_Balances!$B:$B,$B$1),0)</f>
        <v/>
      </c>
      <c r="J21" s="6">
        <f>SUMIFS(Data_Balances!$G:$G,Data_Balances!$A:$A,$A21,Data_Balances!$B:$B,$B$1,Data_Balances!$E:$E,"&gt;=90")</f>
        <v/>
      </c>
      <c r="K21" s="7">
        <f>IFERROR(J21/SUMIFS(Data_Balances!$G:$G,Data_Balances!$A:$A,$A21,Data_Balances!$B:$B,$B$1),0)</f>
        <v/>
      </c>
      <c r="L21" s="6">
        <f>SUMIFS(Data_Applications!$D:$D,Data_Applications!$A:$A,$A21,Data_Applications!$B:$B,$B$1)</f>
        <v/>
      </c>
      <c r="M21" s="6">
        <f>SUMIFS(Data_Applications!$E:$E,Data_Applications!$A:$A,$A21,Data_Applications!$B:$B,$B$1)</f>
        <v/>
      </c>
      <c r="N21" s="7">
        <f>IFERROR(M21/L21,0)</f>
        <v/>
      </c>
      <c r="O21" s="6">
        <f>SUMIFS(Data_Balances!$F:$F,Data_Balances!$A:$A,$A21,Data_Balances!$B:$B,$B$1)</f>
        <v/>
      </c>
      <c r="P21" s="6">
        <f>IFERROR(D21/O21,0)</f>
        <v/>
      </c>
    </row>
    <row r="22">
      <c r="A22" s="5" t="n">
        <v>46081</v>
      </c>
      <c r="B22" s="6">
        <f>SUMIFS(Data_Balances!$G:$G,Data_Balances!$A:$A,$A22,Data_Balances!$B:$B,$B$1,Data_Balances!$H:$H,"Personal Loans")+SUMIFS(Data_Balances!$G:$G,Data_Balances!$A:$A,$A22,Data_Balances!$B:$B,$B$1,Data_Balances!$C:$C,"CC*")</f>
        <v/>
      </c>
      <c r="C22" s="8">
        <f>INDEX(Lookups!$F$3:$H$26,MATCH($A22,Lookups!$E$3:$E$26,0),MATCH($B$2,Lookups!$F$2:$H$2,0))</f>
        <v/>
      </c>
      <c r="D22" s="6">
        <f>B22*C22</f>
        <v/>
      </c>
      <c r="E22" s="6">
        <f>SUMIFS(Data_Originations!$D:$D,Data_Originations!$A:$A,$A22,Data_Originations!$B:$B,$B$1)</f>
        <v/>
      </c>
      <c r="F22" s="6">
        <f>SUMIFS(Data_Originations!$E:$E,Data_Originations!$A:$A,$A22,Data_Originations!$B:$B,$B$1)</f>
        <v/>
      </c>
      <c r="G22" s="6">
        <f>F22*C22</f>
        <v/>
      </c>
      <c r="H22" s="6">
        <f>SUMIFS(Data_Balances!$G:$G,Data_Balances!$A:$A,EOMONTH($A22,-1),Data_Balances!$B:$B,$B$1,Data_Balances!$E:$E,"&gt;=30")</f>
        <v/>
      </c>
      <c r="I22" s="7">
        <f>IFERROR(H22/SUMIFS(Data_Balances!$G:$G,Data_Balances!$A:$A,$A22,Data_Balances!$B:$B,$B$1),0)</f>
        <v/>
      </c>
      <c r="J22" s="6">
        <f>SUMIFS(Data_Balances!$G:$G,Data_Balances!$A:$A,$A22,Data_Balances!$B:$B,$B$1,Data_Balances!$E:$E,"&gt;=90")</f>
        <v/>
      </c>
      <c r="K22" s="7">
        <f>IFERROR(J22/SUMIFS(Data_Balances!$G:$G,Data_Balances!$A:$A,$A22,Data_Balances!$B:$B,$B$1),0)</f>
        <v/>
      </c>
      <c r="L22" s="6">
        <f>SUMIFS(Data_Applications!$D:$D,Data_Applications!$A:$A,$A22,Data_Applications!$B:$B,$B$1)</f>
        <v/>
      </c>
      <c r="M22" s="6">
        <f>SUMIFS(Data_Applications!$E:$E,Data_Applications!$A:$A,$A22,Data_Applications!$B:$B,$B$1)</f>
        <v/>
      </c>
      <c r="N22" s="7">
        <f>IFERROR(M22/L22,0)</f>
        <v/>
      </c>
      <c r="O22" s="6">
        <f>SUMIFS(Data_Balances!$F:$F,Data_Balances!$A:$A,$A22,Data_Balances!$B:$B,$B$1)</f>
        <v/>
      </c>
      <c r="P22" s="6">
        <f>IFERROR(D22/O22,0)</f>
        <v/>
      </c>
    </row>
    <row r="23">
      <c r="A23" s="5" t="n">
        <v>46112</v>
      </c>
      <c r="B23" s="6">
        <f>SUMIFS(Data_Balances!$G:$G,Data_Balances!$A:$A,$A23,Data_Balances!$B:$B,$B$1,Data_Balances!$H:$H,"Personal Loans")+SUMIFS(Data_Balances!$G:$G,Data_Balances!$A:$A,$A23,Data_Balances!$B:$B,$B$1,Data_Balances!$C:$C,"CC*")</f>
        <v/>
      </c>
      <c r="C23" s="8">
        <f>INDEX(Lookups!$F$3:$H$26,MATCH($A23,Lookups!$E$3:$E$26,0),MATCH($B$2,Lookups!$F$2:$H$2,0))</f>
        <v/>
      </c>
      <c r="D23" s="6">
        <f>B23*C23</f>
        <v/>
      </c>
      <c r="E23" s="6">
        <f>SUMIFS(Data_Originations!$D:$D,Data_Originations!$A:$A,$A23,Data_Originations!$B:$B,$B$1)</f>
        <v/>
      </c>
      <c r="F23" s="6">
        <f>SUMIFS(Data_Originations!$E:$E,Data_Originations!$A:$A,$A23,Data_Originations!$B:$B,$B$1)</f>
        <v/>
      </c>
      <c r="G23" s="6">
        <f>F23*C23</f>
        <v/>
      </c>
      <c r="H23" s="6">
        <f>SUMIFS(Data_Balances!$G:$G,Data_Balances!$A:$A,EOMONTH($A23,-1),Data_Balances!$B:$B,$B$1,Data_Balances!$E:$E,"&gt;=30")</f>
        <v/>
      </c>
      <c r="I23" s="7">
        <f>IFERROR(H23/SUMIFS(Data_Balances!$G:$G,Data_Balances!$A:$A,$A23,Data_Balances!$B:$B,$B$1),0)</f>
        <v/>
      </c>
      <c r="J23" s="6">
        <f>SUMIFS(Data_Balances!$G:$G,Data_Balances!$A:$A,$A23,Data_Balances!$B:$B,$B$1,Data_Balances!$E:$E,"&gt;=90")</f>
        <v/>
      </c>
      <c r="K23" s="7">
        <f>IFERROR(J23/SUMIFS(Data_Balances!$G:$G,Data_Balances!$A:$A,$A23,Data_Balances!$B:$B,$B$1),0)</f>
        <v/>
      </c>
      <c r="L23" s="6">
        <f>SUMIFS(Data_Applications!$D:$D,Data_Applications!$A:$A,$A23,Data_Applications!$B:$B,$B$1)</f>
        <v/>
      </c>
      <c r="M23" s="6">
        <f>SUMIFS(Data_Applications!$E:$E,Data_Applications!$A:$A,$A23,Data_Applications!$B:$B,$B$1)</f>
        <v/>
      </c>
      <c r="N23" s="7">
        <f>IFERROR(M23/L23,0)</f>
        <v/>
      </c>
      <c r="O23" s="6">
        <f>SUMIFS(Data_Balances!$F:$F,Data_Balances!$A:$A,$A23,Data_Balances!$B:$B,$B$1)</f>
        <v/>
      </c>
      <c r="P23" s="6">
        <f>IFERROR(D23/O23,0)</f>
        <v/>
      </c>
    </row>
    <row r="24">
      <c r="A24" s="5" t="n">
        <v>46142</v>
      </c>
      <c r="B24" s="6">
        <f>SUMIFS(Data_Balances!$G:$G,Data_Balances!$A:$A,$A24,Data_Balances!$B:$B,$B$1,Data_Balances!$H:$H,"Personal Loans")+SUMIFS(Data_Balances!$G:$G,Data_Balances!$A:$A,$A24,Data_Balances!$B:$B,$B$1,Data_Balances!$C:$C,"CC*")</f>
        <v/>
      </c>
      <c r="C24" s="8">
        <f>INDEX(Lookups!$F$3:$H$26,MATCH($A24,Lookups!$E$3:$E$26,0),MATCH($B$2,Lookups!$F$2:$H$2,0))</f>
        <v/>
      </c>
      <c r="D24" s="6">
        <f>B24*C24</f>
        <v/>
      </c>
      <c r="E24" s="6">
        <f>SUMIFS(Data_Originations!$D:$D,Data_Originations!$A:$A,$A24,Data_Originations!$B:$B,$B$1)</f>
        <v/>
      </c>
      <c r="F24" s="6">
        <f>SUMIFS(Data_Originations!$E:$E,Data_Originations!$A:$A,$A24,Data_Originations!$B:$B,$B$1)</f>
        <v/>
      </c>
      <c r="G24" s="6">
        <f>F24*C24</f>
        <v/>
      </c>
      <c r="H24" s="6">
        <f>SUMIFS(Data_Balances!$G:$G,Data_Balances!$A:$A,EOMONTH($A24,-1),Data_Balances!$B:$B,$B$1,Data_Balances!$E:$E,"&gt;=30")</f>
        <v/>
      </c>
      <c r="I24" s="7">
        <f>IFERROR(H24/SUMIFS(Data_Balances!$G:$G,Data_Balances!$A:$A,$A24,Data_Balances!$B:$B,$B$1),0)</f>
        <v/>
      </c>
      <c r="J24" s="6">
        <f>SUMIFS(Data_Balances!$G:$G,Data_Balances!$A:$A,$A24,Data_Balances!$B:$B,$B$1,Data_Balances!$E:$E,"&gt;=90")</f>
        <v/>
      </c>
      <c r="K24" s="7">
        <f>IFERROR(J24/SUMIFS(Data_Balances!$G:$G,Data_Balances!$A:$A,$A24,Data_Balances!$B:$B,$B$1),0)</f>
        <v/>
      </c>
      <c r="L24" s="6">
        <f>SUMIFS(Data_Applications!$D:$D,Data_Applications!$A:$A,$A24,Data_Applications!$B:$B,$B$1)</f>
        <v/>
      </c>
      <c r="M24" s="6">
        <f>SUMIFS(Data_Applications!$E:$E,Data_Applications!$A:$A,$A24,Data_Applications!$B:$B,$B$1)</f>
        <v/>
      </c>
      <c r="N24" s="7">
        <f>IFERROR(M24/L24,0)</f>
        <v/>
      </c>
      <c r="O24" s="6">
        <f>SUMIFS(Data_Balances!$F:$F,Data_Balances!$A:$A,$A24,Data_Balances!$B:$B,$B$1)</f>
        <v/>
      </c>
      <c r="P24" s="6">
        <f>IFERROR(D24/O24,0)</f>
        <v/>
      </c>
    </row>
    <row r="25">
      <c r="A25" s="5" t="n">
        <v>46173</v>
      </c>
      <c r="B25" s="6">
        <f>SUMIFS(Data_Balances!$G:$G,Data_Balances!$A:$A,$A25,Data_Balances!$B:$B,$B$1,Data_Balances!$H:$H,"Personal Loans")+SUMIFS(Data_Balances!$G:$G,Data_Balances!$A:$A,$A25,Data_Balances!$B:$B,$B$1,Data_Balances!$C:$C,"CC*")</f>
        <v/>
      </c>
      <c r="C25" s="8">
        <f>INDEX(Lookups!$F$3:$H$26,MATCH($A25,Lookups!$E$3:$E$26,0),MATCH($B$2,Lookups!$F$2:$H$2,0))</f>
        <v/>
      </c>
      <c r="D25" s="6">
        <f>B25*C25</f>
        <v/>
      </c>
      <c r="E25" s="6">
        <f>SUMIFS(Data_Originations!$D:$D,Data_Originations!$A:$A,$A25,Data_Originations!$B:$B,$B$1)</f>
        <v/>
      </c>
      <c r="F25" s="6">
        <f>SUMIFS(Data_Originations!$E:$E,Data_Originations!$A:$A,$A25,Data_Originations!$B:$B,$B$1)</f>
        <v/>
      </c>
      <c r="G25" s="6">
        <f>F25*C25</f>
        <v/>
      </c>
      <c r="H25" s="6">
        <f>SUMIFS(Data_Balances!$G:$G,Data_Balances!$A:$A,EOMONTH($A25,-1),Data_Balances!$B:$B,$B$1,Data_Balances!$E:$E,"&gt;=30")</f>
        <v/>
      </c>
      <c r="I25" s="7">
        <f>IFERROR(H25/SUMIFS(Data_Balances!$G:$G,Data_Balances!$A:$A,$A25,Data_Balances!$B:$B,$B$1),0)</f>
        <v/>
      </c>
      <c r="J25" s="6">
        <f>SUMIFS(Data_Balances!$G:$G,Data_Balances!$A:$A,$A25,Data_Balances!$B:$B,$B$1,Data_Balances!$E:$E,"&gt;=90")</f>
        <v/>
      </c>
      <c r="K25" s="7">
        <f>IFERROR(J25/SUMIFS(Data_Balances!$G:$G,Data_Balances!$A:$A,$A25,Data_Balances!$B:$B,$B$1),0)</f>
        <v/>
      </c>
      <c r="L25" s="6">
        <f>SUMIFS(Data_Applications!$D:$D,Data_Applications!$A:$A,$A25,Data_Applications!$B:$B,$B$1)</f>
        <v/>
      </c>
      <c r="M25" s="6">
        <f>SUMIFS(Data_Applications!$E:$E,Data_Applications!$A:$A,$A25,Data_Applications!$B:$B,$B$1)</f>
        <v/>
      </c>
      <c r="N25" s="7">
        <f>IFERROR(M25/L25,0)</f>
        <v/>
      </c>
      <c r="O25" s="6">
        <f>SUMIFS(Data_Balances!$F:$F,Data_Balances!$A:$A,$A25,Data_Balances!$B:$B,$B$1)</f>
        <v/>
      </c>
      <c r="P25" s="6">
        <f>IFERROR(D25/O25,0)</f>
        <v/>
      </c>
    </row>
    <row r="26">
      <c r="A26" s="5" t="n">
        <v>46203</v>
      </c>
      <c r="B26" s="6">
        <f>SUMIFS(Data_Balances!$G:$G,Data_Balances!$A:$A,$A26,Data_Balances!$B:$B,$B$1,Data_Balances!$H:$H,"Personal Loans")+SUMIFS(Data_Balances!$G:$G,Data_Balances!$A:$A,$A26,Data_Balances!$B:$B,$B$1,Data_Balances!$C:$C,"CC*")</f>
        <v/>
      </c>
      <c r="C26" s="8">
        <f>INDEX(Lookups!$F$3:$H$26,MATCH($A26,Lookups!$E$3:$E$26,0),MATCH($B$2,Lookups!$F$2:$H$2,0))</f>
        <v/>
      </c>
      <c r="D26" s="6">
        <f>B26*C26</f>
        <v/>
      </c>
      <c r="E26" s="6">
        <f>SUMIFS(Data_Originations!$D:$D,Data_Originations!$A:$A,$A26,Data_Originations!$B:$B,$B$1)</f>
        <v/>
      </c>
      <c r="F26" s="6">
        <f>SUMIFS(Data_Originations!$E:$E,Data_Originations!$A:$A,$A26,Data_Originations!$B:$B,$B$1)</f>
        <v/>
      </c>
      <c r="G26" s="6">
        <f>F26*C26</f>
        <v/>
      </c>
      <c r="H26" s="6">
        <f>SUMIFS(Data_Balances!$G:$G,Data_Balances!$A:$A,EOMONTH($A26,-1),Data_Balances!$B:$B,$B$1,Data_Balances!$E:$E,"&gt;=30")</f>
        <v/>
      </c>
      <c r="I26" s="7">
        <f>IFERROR(H26/SUMIFS(Data_Balances!$G:$G,Data_Balances!$A:$A,$A26,Data_Balances!$B:$B,$B$1),0)</f>
        <v/>
      </c>
      <c r="J26" s="6">
        <f>SUMIFS(Data_Balances!$G:$G,Data_Balances!$A:$A,$A26,Data_Balances!$B:$B,$B$1,Data_Balances!$E:$E,"&gt;=90")</f>
        <v/>
      </c>
      <c r="K26" s="7">
        <f>IFERROR(J26/SUMIFS(Data_Balances!$G:$G,Data_Balances!$A:$A,$A26,Data_Balances!$B:$B,$B$1),0)</f>
        <v/>
      </c>
      <c r="L26" s="6">
        <f>SUMIFS(Data_Applications!$D:$D,Data_Applications!$A:$A,$A26,Data_Applications!$B:$B,$B$1)</f>
        <v/>
      </c>
      <c r="M26" s="6">
        <f>SUMIFS(Data_Applications!$E:$E,Data_Applications!$A:$A,$A26,Data_Applications!$B:$B,$B$1)</f>
        <v/>
      </c>
      <c r="N26" s="7">
        <f>IFERROR(M26/L26,0)</f>
        <v/>
      </c>
      <c r="O26" s="6">
        <f>SUMIFS(Data_Balances!$F:$F,Data_Balances!$A:$A,$A26,Data_Balances!$B:$B,$B$1)</f>
        <v/>
      </c>
      <c r="P26" s="6">
        <f>IFERROR(D26/O26,0)</f>
        <v/>
      </c>
    </row>
    <row r="27">
      <c r="A27" s="5" t="n">
        <v>46234</v>
      </c>
      <c r="B27" s="6">
        <f>SUMIFS(Data_Balances!$G:$G,Data_Balances!$A:$A,$A27,Data_Balances!$B:$B,$B$1,Data_Balances!$H:$H,"Personal Loans")+SUMIFS(Data_Balances!$G:$G,Data_Balances!$A:$A,$A27,Data_Balances!$B:$B,$B$1,Data_Balances!$C:$C,"CC*")</f>
        <v/>
      </c>
      <c r="C27" s="8">
        <f>INDEX(Lookups!$F$3:$H$26,MATCH($A27,Lookups!$E$3:$E$26,0),MATCH($B$2,Lookups!$F$2:$H$2,0))</f>
        <v/>
      </c>
      <c r="D27" s="6">
        <f>B27*C27</f>
        <v/>
      </c>
      <c r="E27" s="6">
        <f>SUMIFS(Data_Originations!$D:$D,Data_Originations!$A:$A,$A27,Data_Originations!$B:$B,$B$1)</f>
        <v/>
      </c>
      <c r="F27" s="6">
        <f>SUMIFS(Data_Originations!$E:$E,Data_Originations!$A:$A,$A27,Data_Originations!$B:$B,$B$1)</f>
        <v/>
      </c>
      <c r="G27" s="6">
        <f>F27*C27</f>
        <v/>
      </c>
      <c r="H27" s="6">
        <f>SUMIFS(Data_Balances!$G:$G,Data_Balances!$A:$A,EOMONTH($A27,-1),Data_Balances!$B:$B,$B$1,Data_Balances!$E:$E,"&gt;=30")</f>
        <v/>
      </c>
      <c r="I27" s="7">
        <f>IFERROR(H27/SUMIFS(Data_Balances!$G:$G,Data_Balances!$A:$A,$A27,Data_Balances!$B:$B,$B$1),0)</f>
        <v/>
      </c>
      <c r="J27" s="6">
        <f>SUMIFS(Data_Balances!$G:$G,Data_Balances!$A:$A,$A27,Data_Balances!$B:$B,$B$1,Data_Balances!$E:$E,"&gt;=90")</f>
        <v/>
      </c>
      <c r="K27" s="7">
        <f>IFERROR(J27/SUMIFS(Data_Balances!$G:$G,Data_Balances!$A:$A,$A27,Data_Balances!$B:$B,$B$1),0)</f>
        <v/>
      </c>
      <c r="L27" s="6">
        <f>SUMIFS(Data_Applications!$D:$D,Data_Applications!$A:$A,$A27,Data_Applications!$B:$B,$B$1)</f>
        <v/>
      </c>
      <c r="M27" s="6">
        <f>SUMIFS(Data_Applications!$E:$E,Data_Applications!$A:$A,$A27,Data_Applications!$B:$B,$B$1)</f>
        <v/>
      </c>
      <c r="N27" s="7">
        <f>IFERROR(M27/L27,0)</f>
        <v/>
      </c>
      <c r="O27" s="6">
        <f>SUMIFS(Data_Balances!$F:$F,Data_Balances!$A:$A,$A27,Data_Balances!$B:$B,$B$1)</f>
        <v/>
      </c>
      <c r="P27" s="6">
        <f>IFERROR(D27/O27,0)</f>
        <v/>
      </c>
    </row>
    <row r="28">
      <c r="A28" s="5" t="n">
        <v>46265</v>
      </c>
      <c r="B28" s="6">
        <f>SUMIFS(Data_Balances!$G:$G,Data_Balances!$A:$A,$A28,Data_Balances!$B:$B,$B$1,Data_Balances!$H:$H,"Personal Loans")+SUMIFS(Data_Balances!$G:$G,Data_Balances!$A:$A,$A28,Data_Balances!$B:$B,$B$1,Data_Balances!$C:$C,"CC*")</f>
        <v/>
      </c>
      <c r="C28" s="8">
        <f>INDEX(Lookups!$F$3:$H$26,MATCH($A28,Lookups!$E$3:$E$26,0),MATCH($B$2,Lookups!$F$2:$H$2,0))</f>
        <v/>
      </c>
      <c r="D28" s="6">
        <f>B28*C28</f>
        <v/>
      </c>
      <c r="E28" s="6">
        <f>SUMIFS(Data_Originations!$D:$D,Data_Originations!$A:$A,$A28,Data_Originations!$B:$B,$B$1)</f>
        <v/>
      </c>
      <c r="F28" s="6">
        <f>SUMIFS(Data_Originations!$E:$E,Data_Originations!$A:$A,$A28,Data_Originations!$B:$B,$B$1)</f>
        <v/>
      </c>
      <c r="G28" s="6">
        <f>F28*C28</f>
        <v/>
      </c>
      <c r="H28" s="6">
        <f>SUMIFS(Data_Balances!$G:$G,Data_Balances!$A:$A,EOMONTH($A28,-1),Data_Balances!$B:$B,$B$1,Data_Balances!$E:$E,"&gt;=30")</f>
        <v/>
      </c>
      <c r="I28" s="7">
        <f>IFERROR(H28/SUMIFS(Data_Balances!$G:$G,Data_Balances!$A:$A,$A28,Data_Balances!$B:$B,$B$1),0)</f>
        <v/>
      </c>
      <c r="J28" s="6">
        <f>SUMIFS(Data_Balances!$G:$G,Data_Balances!$A:$A,$A28,Data_Balances!$B:$B,$B$1,Data_Balances!$E:$E,"&gt;=90")</f>
        <v/>
      </c>
      <c r="K28" s="7">
        <f>IFERROR(J28/SUMIFS(Data_Balances!$G:$G,Data_Balances!$A:$A,$A28,Data_Balances!$B:$B,$B$1),0)</f>
        <v/>
      </c>
      <c r="L28" s="6">
        <f>SUMIFS(Data_Applications!$D:$D,Data_Applications!$A:$A,$A28,Data_Applications!$B:$B,$B$1)</f>
        <v/>
      </c>
      <c r="M28" s="6">
        <f>SUMIFS(Data_Applications!$E:$E,Data_Applications!$A:$A,$A28,Data_Applications!$B:$B,$B$1)</f>
        <v/>
      </c>
      <c r="N28" s="7">
        <f>IFERROR(M28/L28,0)</f>
        <v/>
      </c>
      <c r="O28" s="6">
        <f>SUMIFS(Data_Balances!$F:$F,Data_Balances!$A:$A,$A28,Data_Balances!$B:$B,$B$1)</f>
        <v/>
      </c>
      <c r="P28" s="6">
        <f>IFERROR(D28/O28,0)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Country</t>
        </is>
      </c>
      <c r="B1" t="inlineStr">
        <is>
          <t>CZ</t>
        </is>
      </c>
      <c r="C1" t="inlineStr">
        <is>
          <t>Czech Republic</t>
        </is>
      </c>
    </row>
    <row r="2">
      <c r="A2" s="2" t="inlineStr">
        <is>
          <t>Currency</t>
        </is>
      </c>
      <c r="B2" t="inlineStr">
        <is>
          <t>CZK</t>
        </is>
      </c>
    </row>
    <row r="4" ht="45" customHeight="1">
      <c r="A4" s="4" t="inlineStr">
        <is>
          <t>Month end</t>
        </is>
      </c>
      <c r="B4" s="4" t="inlineStr">
        <is>
          <t>Portfolio balance (local)</t>
        </is>
      </c>
      <c r="C4" s="4" t="inlineStr">
        <is>
          <t>FX rate to EUR</t>
        </is>
      </c>
      <c r="D4" s="4" t="inlineStr">
        <is>
          <t>Portfolio balance (EUR)</t>
        </is>
      </c>
      <c r="E4" s="4" t="inlineStr">
        <is>
          <t>New accounts</t>
        </is>
      </c>
      <c r="F4" s="4" t="inlineStr">
        <is>
          <t>New originations (local)</t>
        </is>
      </c>
      <c r="G4" s="4" t="inlineStr">
        <is>
          <t>New originations (EUR)</t>
        </is>
      </c>
      <c r="H4" s="4" t="inlineStr">
        <is>
          <t>Balance 30+ DPD (local)</t>
        </is>
      </c>
      <c r="I4" s="4" t="inlineStr">
        <is>
          <t>30+ DPD rate</t>
        </is>
      </c>
      <c r="J4" s="4" t="inlineStr">
        <is>
          <t>Balance 90+ DPD (local)</t>
        </is>
      </c>
      <c r="K4" s="4" t="inlineStr">
        <is>
          <t>90+ DPD rate</t>
        </is>
      </c>
      <c r="L4" s="4" t="inlineStr">
        <is>
          <t>Applications received</t>
        </is>
      </c>
      <c r="M4" s="4" t="inlineStr">
        <is>
          <t>Applications approved</t>
        </is>
      </c>
      <c r="N4" s="4" t="inlineStr">
        <is>
          <t>Approval rate</t>
        </is>
      </c>
      <c r="O4" s="4" t="inlineStr">
        <is>
          <t>Active accounts</t>
        </is>
      </c>
      <c r="P4" s="4" t="inlineStr">
        <is>
          <t>Avg balance per customer (EUR)</t>
        </is>
      </c>
    </row>
    <row r="5">
      <c r="A5" s="5" t="n">
        <v>45565</v>
      </c>
      <c r="B5" s="6">
        <f>SUMIFS(Data_Balances!$G:$G,Data_Balances!$A:$A,$A5,Data_Balances!$B:$B,$B$1,Data_Balances!$H:$H,"Personal Loans")+SUMIFS(Data_Balances!$G:$G,Data_Balances!$A:$A,$A5,Data_Balances!$B:$B,$B$1,Data_Balances!$C:$C,"CC*")</f>
        <v/>
      </c>
      <c r="C5" s="8">
        <f>INDEX(Lookups!$F$3:$H$26,MATCH($A5,Lookups!$E$3:$E$26,0),MATCH($B$2,Lookups!$F$2:$H$2,0))</f>
        <v/>
      </c>
      <c r="D5" s="6">
        <f>B5*C5</f>
        <v/>
      </c>
      <c r="E5" s="6">
        <f>SUMIFS(Data_Originations!$D:$D,Data_Originations!$A:$A,$A5,Data_Originations!$B:$B,$B$1)</f>
        <v/>
      </c>
      <c r="F5" s="6">
        <f>SUMIFS(Data_Originations!$E:$E,Data_Originations!$A:$A,$A5,Data_Originations!$B:$B,$B$1)</f>
        <v/>
      </c>
      <c r="G5" s="6">
        <f>F5*C5</f>
        <v/>
      </c>
      <c r="H5" s="6">
        <f>SUMIFS(Data_Balances!$G:$G,Data_Balances!$A:$A,EOMONTH($A5,-1),Data_Balances!$B:$B,$B$1,Data_Balances!$E:$E,"&gt;=30")</f>
        <v/>
      </c>
      <c r="I5" s="7">
        <f>IFERROR(H5/SUMIFS(Data_Balances!$G:$G,Data_Balances!$A:$A,$A5,Data_Balances!$B:$B,$B$1),0)</f>
        <v/>
      </c>
      <c r="J5" s="6">
        <f>SUMIFS(Data_Balances!$G:$G,Data_Balances!$A:$A,$A5,Data_Balances!$B:$B,$B$1,Data_Balances!$E:$E,"&gt;=90")</f>
        <v/>
      </c>
      <c r="K5" s="7">
        <f>IFERROR(J5/SUMIFS(Data_Balances!$G:$G,Data_Balances!$A:$A,$A5,Data_Balances!$B:$B,$B$1),0)</f>
        <v/>
      </c>
      <c r="L5" s="6">
        <f>SUMIFS(Data_Applications!$D:$D,Data_Applications!$A:$A,$A5,Data_Applications!$B:$B,$B$1)</f>
        <v/>
      </c>
      <c r="M5" s="6">
        <f>SUMIFS(Data_Applications!$E:$E,Data_Applications!$A:$A,$A5,Data_Applications!$B:$B,$B$1)</f>
        <v/>
      </c>
      <c r="N5" s="7">
        <f>IFERROR(M5/L5,0)</f>
        <v/>
      </c>
      <c r="O5" s="6">
        <f>SUMIFS(Data_Balances!$F:$F,Data_Balances!$A:$A,$A5,Data_Balances!$B:$B,$B$1)</f>
        <v/>
      </c>
      <c r="P5" s="6">
        <f>IFERROR(D5/O5,0)</f>
        <v/>
      </c>
    </row>
    <row r="6">
      <c r="A6" s="5" t="n">
        <v>45596</v>
      </c>
      <c r="B6" s="6">
        <f>SUMIFS(Data_Balances!$G:$G,Data_Balances!$A:$A,$A6,Data_Balances!$B:$B,$B$1,Data_Balances!$H:$H,"Personal Loans")+SUMIFS(Data_Balances!$G:$G,Data_Balances!$A:$A,$A6,Data_Balances!$B:$B,$B$1,Data_Balances!$C:$C,"CC*")</f>
        <v/>
      </c>
      <c r="C6" s="8">
        <f>INDEX(Lookups!$F$3:$H$26,MATCH($A6,Lookups!$E$3:$E$26,0),MATCH($B$2,Lookups!$F$2:$H$2,0))</f>
        <v/>
      </c>
      <c r="D6" s="6">
        <f>B6*C6</f>
        <v/>
      </c>
      <c r="E6" s="6">
        <f>SUMIFS(Data_Originations!$D:$D,Data_Originations!$A:$A,$A6,Data_Originations!$B:$B,$B$1)</f>
        <v/>
      </c>
      <c r="F6" s="6">
        <f>SUMIFS(Data_Originations!$E:$E,Data_Originations!$A:$A,$A6,Data_Originations!$B:$B,$B$1)</f>
        <v/>
      </c>
      <c r="G6" s="6">
        <f>F6*C6</f>
        <v/>
      </c>
      <c r="H6" s="6">
        <f>SUMIFS(Data_Balances!$G:$G,Data_Balances!$A:$A,EOMONTH($A6,-1),Data_Balances!$B:$B,$B$1,Data_Balances!$E:$E,"&gt;=30")</f>
        <v/>
      </c>
      <c r="I6" s="7">
        <f>IFERROR(H6/SUMIFS(Data_Balances!$G:$G,Data_Balances!$A:$A,$A6,Data_Balances!$B:$B,$B$1),0)</f>
        <v/>
      </c>
      <c r="J6" s="6">
        <f>SUMIFS(Data_Balances!$G:$G,Data_Balances!$A:$A,$A6,Data_Balances!$B:$B,$B$1,Data_Balances!$E:$E,"&gt;=90")</f>
        <v/>
      </c>
      <c r="K6" s="7">
        <f>IFERROR(J6/SUMIFS(Data_Balances!$G:$G,Data_Balances!$A:$A,$A6,Data_Balances!$B:$B,$B$1),0)</f>
        <v/>
      </c>
      <c r="L6" s="6">
        <f>SUMIFS(Data_Applications!$D:$D,Data_Applications!$A:$A,$A6,Data_Applications!$B:$B,$B$1)</f>
        <v/>
      </c>
      <c r="M6" s="6">
        <f>SUMIFS(Data_Applications!$E:$E,Data_Applications!$A:$A,$A6,Data_Applications!$B:$B,$B$1)</f>
        <v/>
      </c>
      <c r="N6" s="7">
        <f>IFERROR(M6/L6,0)</f>
        <v/>
      </c>
      <c r="O6" s="6">
        <f>SUMIFS(Data_Balances!$F:$F,Data_Balances!$A:$A,$A6,Data_Balances!$B:$B,$B$1)</f>
        <v/>
      </c>
      <c r="P6" s="6">
        <f>IFERROR(D6/O6,0)</f>
        <v/>
      </c>
    </row>
    <row r="7">
      <c r="A7" s="5" t="n">
        <v>45626</v>
      </c>
      <c r="B7" s="6">
        <f>SUMIFS(Data_Balances!$G:$G,Data_Balances!$A:$A,$A7,Data_Balances!$B:$B,$B$1,Data_Balances!$H:$H,"Personal Loans")+SUMIFS(Data_Balances!$G:$G,Data_Balances!$A:$A,$A7,Data_Balances!$B:$B,$B$1,Data_Balances!$C:$C,"CC*")</f>
        <v/>
      </c>
      <c r="C7" s="8">
        <f>INDEX(Lookups!$F$3:$H$26,MATCH($A7,Lookups!$E$3:$E$26,0),MATCH($B$2,Lookups!$F$2:$H$2,0))</f>
        <v/>
      </c>
      <c r="D7" s="6">
        <f>B7*C7</f>
        <v/>
      </c>
      <c r="E7" s="6">
        <f>SUMIFS(Data_Originations!$D:$D,Data_Originations!$A:$A,$A7,Data_Originations!$B:$B,$B$1)</f>
        <v/>
      </c>
      <c r="F7" s="6">
        <f>SUMIFS(Data_Originations!$E:$E,Data_Originations!$A:$A,$A7,Data_Originations!$B:$B,$B$1)</f>
        <v/>
      </c>
      <c r="G7" s="6">
        <f>F7*C7</f>
        <v/>
      </c>
      <c r="H7" s="6">
        <f>SUMIFS(Data_Balances!$G:$G,Data_Balances!$A:$A,EOMONTH($A7,-1),Data_Balances!$B:$B,$B$1,Data_Balances!$E:$E,"&gt;=30")</f>
        <v/>
      </c>
      <c r="I7" s="7">
        <f>IFERROR(H7/SUMIFS(Data_Balances!$G:$G,Data_Balances!$A:$A,$A7,Data_Balances!$B:$B,$B$1),0)</f>
        <v/>
      </c>
      <c r="J7" s="6">
        <f>SUMIFS(Data_Balances!$G:$G,Data_Balances!$A:$A,$A7,Data_Balances!$B:$B,$B$1,Data_Balances!$E:$E,"&gt;=90")</f>
        <v/>
      </c>
      <c r="K7" s="7">
        <f>IFERROR(J7/SUMIFS(Data_Balances!$G:$G,Data_Balances!$A:$A,$A7,Data_Balances!$B:$B,$B$1),0)</f>
        <v/>
      </c>
      <c r="L7" s="6">
        <f>SUMIFS(Data_Applications!$D:$D,Data_Applications!$A:$A,$A7,Data_Applications!$B:$B,$B$1)</f>
        <v/>
      </c>
      <c r="M7" s="6">
        <f>SUMIFS(Data_Applications!$E:$E,Data_Applications!$A:$A,$A7,Data_Applications!$B:$B,$B$1)</f>
        <v/>
      </c>
      <c r="N7" s="7">
        <f>IFERROR(M7/L7,0)</f>
        <v/>
      </c>
      <c r="O7" s="6">
        <f>SUMIFS(Data_Balances!$F:$F,Data_Balances!$A:$A,$A7,Data_Balances!$B:$B,$B$1)</f>
        <v/>
      </c>
      <c r="P7" s="6">
        <f>IFERROR(D7/O7,0)</f>
        <v/>
      </c>
    </row>
    <row r="8">
      <c r="A8" s="5" t="n">
        <v>45657</v>
      </c>
      <c r="B8" s="6">
        <f>SUMIFS(Data_Balances!$G:$G,Data_Balances!$A:$A,$A8,Data_Balances!$B:$B,$B$1,Data_Balances!$H:$H,"Personal Loans")+SUMIFS(Data_Balances!$G:$G,Data_Balances!$A:$A,$A8,Data_Balances!$B:$B,$B$1,Data_Balances!$C:$C,"CC*")</f>
        <v/>
      </c>
      <c r="C8" s="8">
        <f>INDEX(Lookups!$F$3:$H$26,MATCH($A8,Lookups!$E$3:$E$26,0),MATCH($B$2,Lookups!$F$2:$H$2,0))</f>
        <v/>
      </c>
      <c r="D8" s="6">
        <f>B8*C8</f>
        <v/>
      </c>
      <c r="E8" s="6">
        <f>SUMIFS(Data_Originations!$D:$D,Data_Originations!$A:$A,$A8,Data_Originations!$B:$B,$B$1)</f>
        <v/>
      </c>
      <c r="F8" s="6">
        <f>SUMIFS(Data_Originations!$E:$E,Data_Originations!$A:$A,$A8,Data_Originations!$B:$B,$B$1)</f>
        <v/>
      </c>
      <c r="G8" s="6">
        <f>F8*C8</f>
        <v/>
      </c>
      <c r="H8" s="6">
        <f>SUMIFS(Data_Balances!$G:$G,Data_Balances!$A:$A,EOMONTH($A8,-1),Data_Balances!$B:$B,$B$1,Data_Balances!$E:$E,"&gt;=30")</f>
        <v/>
      </c>
      <c r="I8" s="7">
        <f>IFERROR(H8/SUMIFS(Data_Balances!$G:$G,Data_Balances!$A:$A,$A8,Data_Balances!$B:$B,$B$1),0)</f>
        <v/>
      </c>
      <c r="J8" s="6">
        <f>SUMIFS(Data_Balances!$G:$G,Data_Balances!$A:$A,$A8,Data_Balances!$B:$B,$B$1,Data_Balances!$E:$E,"&gt;=90")</f>
        <v/>
      </c>
      <c r="K8" s="7">
        <f>IFERROR(J8/SUMIFS(Data_Balances!$G:$G,Data_Balances!$A:$A,$A8,Data_Balances!$B:$B,$B$1),0)</f>
        <v/>
      </c>
      <c r="L8" s="6">
        <f>SUMIFS(Data_Applications!$D:$D,Data_Applications!$A:$A,$A8,Data_Applications!$B:$B,$B$1)</f>
        <v/>
      </c>
      <c r="M8" s="6">
        <f>SUMIFS(Data_Applications!$E:$E,Data_Applications!$A:$A,$A8,Data_Applications!$B:$B,$B$1)</f>
        <v/>
      </c>
      <c r="N8" s="7">
        <f>IFERROR(M8/L8,0)</f>
        <v/>
      </c>
      <c r="O8" s="6">
        <f>SUMIFS(Data_Balances!$F:$F,Data_Balances!$A:$A,$A8,Data_Balances!$B:$B,$B$1)</f>
        <v/>
      </c>
      <c r="P8" s="6">
        <f>IFERROR(D8/O8,0)</f>
        <v/>
      </c>
    </row>
    <row r="9">
      <c r="A9" s="5" t="n">
        <v>45688</v>
      </c>
      <c r="B9" s="6">
        <f>SUMIFS(Data_Balances!$G:$G,Data_Balances!$A:$A,$A9,Data_Balances!$B:$B,$B$1,Data_Balances!$H:$H,"Personal Loans")+SUMIFS(Data_Balances!$G:$G,Data_Balances!$A:$A,$A9,Data_Balances!$B:$B,$B$1,Data_Balances!$C:$C,"CC*")</f>
        <v/>
      </c>
      <c r="C9" s="8">
        <f>INDEX(Lookups!$F$3:$H$26,MATCH($A9,Lookups!$E$3:$E$26,0),MATCH($B$2,Lookups!$F$2:$H$2,0))</f>
        <v/>
      </c>
      <c r="D9" s="6">
        <f>B9*C9</f>
        <v/>
      </c>
      <c r="E9" s="6">
        <f>SUMIFS(Data_Originations!$D:$D,Data_Originations!$A:$A,$A9,Data_Originations!$B:$B,$B$1)</f>
        <v/>
      </c>
      <c r="F9" s="6">
        <f>SUMIFS(Data_Originations!$E:$E,Data_Originations!$A:$A,$A9,Data_Originations!$B:$B,$B$1)</f>
        <v/>
      </c>
      <c r="G9" s="6">
        <f>F9*C9</f>
        <v/>
      </c>
      <c r="H9" s="6">
        <f>SUMIFS(Data_Balances!$G:$G,Data_Balances!$A:$A,EOMONTH($A9,-1),Data_Balances!$B:$B,$B$1,Data_Balances!$E:$E,"&gt;=30")</f>
        <v/>
      </c>
      <c r="I9" s="7">
        <f>IFERROR(H9/SUMIFS(Data_Balances!$G:$G,Data_Balances!$A:$A,$A9,Data_Balances!$B:$B,$B$1),0)</f>
        <v/>
      </c>
      <c r="J9" s="6">
        <f>SUMIFS(Data_Balances!$G:$G,Data_Balances!$A:$A,$A9,Data_Balances!$B:$B,$B$1,Data_Balances!$E:$E,"&gt;=90")</f>
        <v/>
      </c>
      <c r="K9" s="7">
        <f>IFERROR(J9/SUMIFS(Data_Balances!$G:$G,Data_Balances!$A:$A,$A9,Data_Balances!$B:$B,$B$1),0)</f>
        <v/>
      </c>
      <c r="L9" s="6">
        <f>SUMIFS(Data_Applications!$D:$D,Data_Applications!$A:$A,$A9,Data_Applications!$B:$B,$B$1)</f>
        <v/>
      </c>
      <c r="M9" s="6">
        <f>SUMIFS(Data_Applications!$E:$E,Data_Applications!$A:$A,$A9,Data_Applications!$B:$B,$B$1)</f>
        <v/>
      </c>
      <c r="N9" s="7">
        <f>IFERROR(M9/L9,0)</f>
        <v/>
      </c>
      <c r="O9" s="6">
        <f>SUMIFS(Data_Balances!$F:$F,Data_Balances!$A:$A,$A9,Data_Balances!$B:$B,$B$1)</f>
        <v/>
      </c>
      <c r="P9" s="6">
        <f>IFERROR(D9/O9,0)</f>
        <v/>
      </c>
    </row>
    <row r="10">
      <c r="A10" s="5" t="n">
        <v>45716</v>
      </c>
      <c r="B10" s="6">
        <f>SUMIFS(Data_Balances!$G:$G,Data_Balances!$A:$A,$A10,Data_Balances!$B:$B,$B$1,Data_Balances!$H:$H,"Personal Loans")+SUMIFS(Data_Balances!$G:$G,Data_Balances!$A:$A,$A10,Data_Balances!$B:$B,$B$1,Data_Balances!$C:$C,"CC*")</f>
        <v/>
      </c>
      <c r="C10" s="8">
        <f>INDEX(Lookups!$F$3:$H$26,MATCH($A10,Lookups!$E$3:$E$26,0),MATCH($B$2,Lookups!$F$2:$H$2,0))</f>
        <v/>
      </c>
      <c r="D10" s="6">
        <f>B10*C10</f>
        <v/>
      </c>
      <c r="E10" s="6">
        <f>SUMIFS(Data_Originations!$D:$D,Data_Originations!$A:$A,$A10,Data_Originations!$B:$B,$B$1)</f>
        <v/>
      </c>
      <c r="F10" s="6">
        <f>SUMIFS(Data_Originations!$E:$E,Data_Originations!$A:$A,$A10,Data_Originations!$B:$B,$B$1)</f>
        <v/>
      </c>
      <c r="G10" s="6">
        <f>F10*C10</f>
        <v/>
      </c>
      <c r="H10" s="6">
        <f>SUMIFS(Data_Balances!$G:$G,Data_Balances!$A:$A,EOMONTH($A10,-1),Data_Balances!$B:$B,$B$1,Data_Balances!$E:$E,"&gt;=30")</f>
        <v/>
      </c>
      <c r="I10" s="7">
        <f>IFERROR(H10/SUMIFS(Data_Balances!$G:$G,Data_Balances!$A:$A,$A10,Data_Balances!$B:$B,$B$1),0)</f>
        <v/>
      </c>
      <c r="J10" s="6">
        <f>SUMIFS(Data_Balances!$G:$G,Data_Balances!$A:$A,$A10,Data_Balances!$B:$B,$B$1,Data_Balances!$E:$E,"&gt;=90")</f>
        <v/>
      </c>
      <c r="K10" s="7">
        <f>IFERROR(J10/SUMIFS(Data_Balances!$G:$G,Data_Balances!$A:$A,$A10,Data_Balances!$B:$B,$B$1),0)</f>
        <v/>
      </c>
      <c r="L10" s="6">
        <f>SUMIFS(Data_Applications!$D:$D,Data_Applications!$A:$A,$A10,Data_Applications!$B:$B,$B$1)</f>
        <v/>
      </c>
      <c r="M10" s="6">
        <f>SUMIFS(Data_Applications!$E:$E,Data_Applications!$A:$A,$A10,Data_Applications!$B:$B,$B$1)</f>
        <v/>
      </c>
      <c r="N10" s="7">
        <f>IFERROR(M10/L10,0)</f>
        <v/>
      </c>
      <c r="O10" s="6">
        <f>SUMIFS(Data_Balances!$F:$F,Data_Balances!$A:$A,$A10,Data_Balances!$B:$B,$B$1)</f>
        <v/>
      </c>
      <c r="P10" s="6">
        <f>IFERROR(D10/O10,0)</f>
        <v/>
      </c>
    </row>
    <row r="11">
      <c r="A11" s="5" t="n">
        <v>45747</v>
      </c>
      <c r="B11" s="6">
        <f>SUMIFS(Data_Balances!$G:$G,Data_Balances!$A:$A,$A11,Data_Balances!$B:$B,$B$1,Data_Balances!$H:$H,"Personal Loans")+SUMIFS(Data_Balances!$G:$G,Data_Balances!$A:$A,$A11,Data_Balances!$B:$B,$B$1,Data_Balances!$C:$C,"CC*")</f>
        <v/>
      </c>
      <c r="C11" s="8">
        <f>INDEX(Lookups!$F$3:$H$26,MATCH($A11,Lookups!$E$3:$E$26,0),MATCH($B$2,Lookups!$F$2:$H$2,0))</f>
        <v/>
      </c>
      <c r="D11" s="6">
        <f>B11*C11</f>
        <v/>
      </c>
      <c r="E11" s="6">
        <f>SUMIFS(Data_Originations!$D:$D,Data_Originations!$A:$A,$A11,Data_Originations!$B:$B,$B$1)</f>
        <v/>
      </c>
      <c r="F11" s="6">
        <f>SUMIFS(Data_Originations!$E:$E,Data_Originations!$A:$A,$A11,Data_Originations!$B:$B,$B$1)</f>
        <v/>
      </c>
      <c r="G11" s="6">
        <f>F11*C11</f>
        <v/>
      </c>
      <c r="H11" s="6">
        <f>SUMIFS(Data_Balances!$G:$G,Data_Balances!$A:$A,EOMONTH($A11,-1),Data_Balances!$B:$B,$B$1,Data_Balances!$E:$E,"&gt;=30")</f>
        <v/>
      </c>
      <c r="I11" s="7">
        <f>IFERROR(H11/SUMIFS(Data_Balances!$G:$G,Data_Balances!$A:$A,$A11,Data_Balances!$B:$B,$B$1),0)</f>
        <v/>
      </c>
      <c r="J11" s="6">
        <f>SUMIFS(Data_Balances!$G:$G,Data_Balances!$A:$A,$A11,Data_Balances!$B:$B,$B$1,Data_Balances!$E:$E,"&gt;=90")</f>
        <v/>
      </c>
      <c r="K11" s="7">
        <f>IFERROR(J11/SUMIFS(Data_Balances!$G:$G,Data_Balances!$A:$A,$A11,Data_Balances!$B:$B,$B$1),0)</f>
        <v/>
      </c>
      <c r="L11" s="6">
        <f>SUMIFS(Data_Applications!$D:$D,Data_Applications!$A:$A,$A11,Data_Applications!$B:$B,$B$1)</f>
        <v/>
      </c>
      <c r="M11" s="6">
        <f>SUMIFS(Data_Applications!$E:$E,Data_Applications!$A:$A,$A11,Data_Applications!$B:$B,$B$1)</f>
        <v/>
      </c>
      <c r="N11" s="7">
        <f>IFERROR(M11/L11,0)</f>
        <v/>
      </c>
      <c r="O11" s="6">
        <f>SUMIFS(Data_Balances!$F:$F,Data_Balances!$A:$A,$A11,Data_Balances!$B:$B,$B$1)</f>
        <v/>
      </c>
      <c r="P11" s="6">
        <f>IFERROR(D11/O11,0)</f>
        <v/>
      </c>
    </row>
    <row r="12">
      <c r="A12" s="5" t="n">
        <v>45777</v>
      </c>
      <c r="B12" s="6">
        <f>SUMIFS(Data_Balances!$G:$G,Data_Balances!$A:$A,$A12,Data_Balances!$B:$B,$B$1,Data_Balances!$H:$H,"Personal Loans")+SUMIFS(Data_Balances!$G:$G,Data_Balances!$A:$A,$A12,Data_Balances!$B:$B,$B$1,Data_Balances!$C:$C,"CC*")</f>
        <v/>
      </c>
      <c r="C12" s="8">
        <f>INDEX(Lookups!$F$3:$H$26,MATCH($A12,Lookups!$E$3:$E$26,0),MATCH($B$2,Lookups!$F$2:$H$2,0))</f>
        <v/>
      </c>
      <c r="D12" s="6">
        <f>B12*C12</f>
        <v/>
      </c>
      <c r="E12" s="6">
        <f>SUMIFS(Data_Originations!$D:$D,Data_Originations!$A:$A,$A12,Data_Originations!$B:$B,$B$1)</f>
        <v/>
      </c>
      <c r="F12" s="6">
        <f>SUMIFS(Data_Originations!$E:$E,Data_Originations!$A:$A,$A12,Data_Originations!$B:$B,$B$1)</f>
        <v/>
      </c>
      <c r="G12" s="6">
        <f>F12*C12</f>
        <v/>
      </c>
      <c r="H12" s="6">
        <f>SUMIFS(Data_Balances!$G:$G,Data_Balances!$A:$A,EOMONTH($A12,-1),Data_Balances!$B:$B,$B$1,Data_Balances!$E:$E,"&gt;=30")</f>
        <v/>
      </c>
      <c r="I12" s="7">
        <f>IFERROR(H12/SUMIFS(Data_Balances!$G:$G,Data_Balances!$A:$A,$A12,Data_Balances!$B:$B,$B$1),0)</f>
        <v/>
      </c>
      <c r="J12" s="6">
        <f>SUMIFS(Data_Balances!$G:$G,Data_Balances!$A:$A,$A12,Data_Balances!$B:$B,$B$1,Data_Balances!$E:$E,"&gt;=90")</f>
        <v/>
      </c>
      <c r="K12" s="7">
        <f>IFERROR(J12/SUMIFS(Data_Balances!$G:$G,Data_Balances!$A:$A,$A12,Data_Balances!$B:$B,$B$1),0)</f>
        <v/>
      </c>
      <c r="L12" s="6">
        <f>SUMIFS(Data_Applications!$D:$D,Data_Applications!$A:$A,$A12,Data_Applications!$B:$B,$B$1)</f>
        <v/>
      </c>
      <c r="M12" s="6">
        <f>SUMIFS(Data_Applications!$E:$E,Data_Applications!$A:$A,$A12,Data_Applications!$B:$B,$B$1)</f>
        <v/>
      </c>
      <c r="N12" s="7">
        <f>IFERROR(M12/L12,0)</f>
        <v/>
      </c>
      <c r="O12" s="6">
        <f>SUMIFS(Data_Balances!$F:$F,Data_Balances!$A:$A,$A12,Data_Balances!$B:$B,$B$1)</f>
        <v/>
      </c>
      <c r="P12" s="6">
        <f>IFERROR(D12/O12,0)</f>
        <v/>
      </c>
    </row>
    <row r="13">
      <c r="A13" s="5" t="n">
        <v>45808</v>
      </c>
      <c r="B13" s="6">
        <f>SUMIFS(Data_Balances!$G:$G,Data_Balances!$A:$A,$A13,Data_Balances!$B:$B,$B$1,Data_Balances!$H:$H,"Personal Loans")+SUMIFS(Data_Balances!$G:$G,Data_Balances!$A:$A,$A13,Data_Balances!$B:$B,$B$1,Data_Balances!$C:$C,"CC*")</f>
        <v/>
      </c>
      <c r="C13" s="8">
        <f>INDEX(Lookups!$F$3:$H$26,MATCH($A13,Lookups!$E$3:$E$26,0),MATCH($B$2,Lookups!$F$2:$H$2,0))</f>
        <v/>
      </c>
      <c r="D13" s="6">
        <f>B13*C13</f>
        <v/>
      </c>
      <c r="E13" s="6">
        <f>SUMIFS(Data_Originations!$D:$D,Data_Originations!$A:$A,$A13,Data_Originations!$B:$B,$B$1)</f>
        <v/>
      </c>
      <c r="F13" s="6">
        <f>SUMIFS(Data_Originations!$E:$E,Data_Originations!$A:$A,$A13,Data_Originations!$B:$B,$B$1)</f>
        <v/>
      </c>
      <c r="G13" s="6">
        <f>F13*C13</f>
        <v/>
      </c>
      <c r="H13" s="6">
        <f>SUMIFS(Data_Balances!$G:$G,Data_Balances!$A:$A,EOMONTH($A13,-1),Data_Balances!$B:$B,$B$1,Data_Balances!$E:$E,"&gt;=30")</f>
        <v/>
      </c>
      <c r="I13" s="7">
        <f>IFERROR(H13/SUMIFS(Data_Balances!$G:$G,Data_Balances!$A:$A,$A13,Data_Balances!$B:$B,$B$1),0)</f>
        <v/>
      </c>
      <c r="J13" s="6">
        <f>SUMIFS(Data_Balances!$G:$G,Data_Balances!$A:$A,$A13,Data_Balances!$B:$B,$B$1,Data_Balances!$E:$E,"&gt;=90")</f>
        <v/>
      </c>
      <c r="K13" s="7">
        <f>IFERROR(J13/SUMIFS(Data_Balances!$G:$G,Data_Balances!$A:$A,$A13,Data_Balances!$B:$B,$B$1),0)</f>
        <v/>
      </c>
      <c r="L13" s="6">
        <f>SUMIFS(Data_Applications!$D:$D,Data_Applications!$A:$A,$A13,Data_Applications!$B:$B,$B$1)</f>
        <v/>
      </c>
      <c r="M13" s="6">
        <f>SUMIFS(Data_Applications!$E:$E,Data_Applications!$A:$A,$A13,Data_Applications!$B:$B,$B$1)</f>
        <v/>
      </c>
      <c r="N13" s="7">
        <f>IFERROR(M13/L13,0)</f>
        <v/>
      </c>
      <c r="O13" s="6">
        <f>SUMIFS(Data_Balances!$F:$F,Data_Balances!$A:$A,$A13,Data_Balances!$B:$B,$B$1)</f>
        <v/>
      </c>
      <c r="P13" s="6">
        <f>IFERROR(D13/O13,0)</f>
        <v/>
      </c>
    </row>
    <row r="14">
      <c r="A14" s="5" t="n">
        <v>45838</v>
      </c>
      <c r="B14" s="6">
        <f>SUMIFS(Data_Balances!$G:$G,Data_Balances!$A:$A,$A14,Data_Balances!$B:$B,$B$1,Data_Balances!$H:$H,"Personal Loans")+SUMIFS(Data_Balances!$G:$G,Data_Balances!$A:$A,$A14,Data_Balances!$B:$B,$B$1,Data_Balances!$C:$C,"CC*")</f>
        <v/>
      </c>
      <c r="C14" s="8">
        <f>INDEX(Lookups!$F$3:$H$26,MATCH($A14,Lookups!$E$3:$E$26,0),MATCH($B$2,Lookups!$F$2:$H$2,0))</f>
        <v/>
      </c>
      <c r="D14" s="6">
        <f>B14*C14</f>
        <v/>
      </c>
      <c r="E14" s="6">
        <f>SUMIFS(Data_Originations!$D:$D,Data_Originations!$A:$A,$A14,Data_Originations!$B:$B,$B$1)</f>
        <v/>
      </c>
      <c r="F14" s="6">
        <f>SUMIFS(Data_Originations!$E:$E,Data_Originations!$A:$A,$A14,Data_Originations!$B:$B,$B$1)</f>
        <v/>
      </c>
      <c r="G14" s="6">
        <f>F14*C14</f>
        <v/>
      </c>
      <c r="H14" s="6">
        <f>SUMIFS(Data_Balances!$G:$G,Data_Balances!$A:$A,EOMONTH($A14,-1),Data_Balances!$B:$B,$B$1,Data_Balances!$E:$E,"&gt;=30")</f>
        <v/>
      </c>
      <c r="I14" s="7">
        <f>IFERROR(H14/SUMIFS(Data_Balances!$G:$G,Data_Balances!$A:$A,$A14,Data_Balances!$B:$B,$B$1),0)</f>
        <v/>
      </c>
      <c r="J14" s="6">
        <f>SUMIFS(Data_Balances!$G:$G,Data_Balances!$A:$A,$A14,Data_Balances!$B:$B,$B$1,Data_Balances!$E:$E,"&gt;=90")</f>
        <v/>
      </c>
      <c r="K14" s="7">
        <f>IFERROR(J14/SUMIFS(Data_Balances!$G:$G,Data_Balances!$A:$A,$A14,Data_Balances!$B:$B,$B$1),0)</f>
        <v/>
      </c>
      <c r="L14" s="6">
        <f>SUMIFS(Data_Applications!$D:$D,Data_Applications!$A:$A,$A14,Data_Applications!$B:$B,$B$1)</f>
        <v/>
      </c>
      <c r="M14" s="6">
        <f>SUMIFS(Data_Applications!$E:$E,Data_Applications!$A:$A,$A14,Data_Applications!$B:$B,$B$1)</f>
        <v/>
      </c>
      <c r="N14" s="7">
        <f>IFERROR(M14/L14,0)</f>
        <v/>
      </c>
      <c r="O14" s="6">
        <f>SUMIFS(Data_Balances!$F:$F,Data_Balances!$A:$A,$A14,Data_Balances!$B:$B,$B$1)</f>
        <v/>
      </c>
      <c r="P14" s="6">
        <f>IFERROR(D14/O14,0)</f>
        <v/>
      </c>
    </row>
    <row r="15">
      <c r="A15" s="5" t="n">
        <v>45869</v>
      </c>
      <c r="B15" s="6">
        <f>SUMIFS(Data_Balances!$G:$G,Data_Balances!$A:$A,$A15,Data_Balances!$B:$B,$B$1,Data_Balances!$H:$H,"Personal Loans")+SUMIFS(Data_Balances!$G:$G,Data_Balances!$A:$A,$A15,Data_Balances!$B:$B,$B$1,Data_Balances!$C:$C,"CC*")</f>
        <v/>
      </c>
      <c r="C15" s="8">
        <f>INDEX(Lookups!$F$3:$H$26,MATCH($A15,Lookups!$E$3:$E$26,0),MATCH($B$2,Lookups!$F$2:$H$2,0))</f>
        <v/>
      </c>
      <c r="D15" s="6">
        <f>B15*C15</f>
        <v/>
      </c>
      <c r="E15" s="6">
        <f>SUMIFS(Data_Originations!$D:$D,Data_Originations!$A:$A,$A15,Data_Originations!$B:$B,$B$1)</f>
        <v/>
      </c>
      <c r="F15" s="6">
        <f>SUMIFS(Data_Originations!$E:$E,Data_Originations!$A:$A,$A15,Data_Originations!$B:$B,$B$1)</f>
        <v/>
      </c>
      <c r="G15" s="6">
        <f>F15*C15</f>
        <v/>
      </c>
      <c r="H15" s="6">
        <f>SUMIFS(Data_Balances!$G:$G,Data_Balances!$A:$A,EOMONTH($A15,-1),Data_Balances!$B:$B,$B$1,Data_Balances!$E:$E,"&gt;=30")</f>
        <v/>
      </c>
      <c r="I15" s="7">
        <f>IFERROR(H15/SUMIFS(Data_Balances!$G:$G,Data_Balances!$A:$A,$A15,Data_Balances!$B:$B,$B$1),0)</f>
        <v/>
      </c>
      <c r="J15" s="6">
        <f>SUMIFS(Data_Balances!$G:$G,Data_Balances!$A:$A,$A15,Data_Balances!$B:$B,$B$1,Data_Balances!$E:$E,"&gt;=90")</f>
        <v/>
      </c>
      <c r="K15" s="7">
        <f>IFERROR(J15/SUMIFS(Data_Balances!$G:$G,Data_Balances!$A:$A,$A15,Data_Balances!$B:$B,$B$1),0)</f>
        <v/>
      </c>
      <c r="L15" s="6">
        <f>SUMIFS(Data_Applications!$D:$D,Data_Applications!$A:$A,$A15,Data_Applications!$B:$B,$B$1)</f>
        <v/>
      </c>
      <c r="M15" s="6">
        <f>SUMIFS(Data_Applications!$E:$E,Data_Applications!$A:$A,$A15,Data_Applications!$B:$B,$B$1)</f>
        <v/>
      </c>
      <c r="N15" s="7">
        <f>IFERROR(M15/L15,0)</f>
        <v/>
      </c>
      <c r="O15" s="6">
        <f>SUMIFS(Data_Balances!$F:$F,Data_Balances!$A:$A,$A15,Data_Balances!$B:$B,$B$1)</f>
        <v/>
      </c>
      <c r="P15" s="6">
        <f>IFERROR(D15/O15,0)</f>
        <v/>
      </c>
    </row>
    <row r="16">
      <c r="A16" s="5" t="n">
        <v>45900</v>
      </c>
      <c r="B16" s="6">
        <f>SUMIFS(Data_Balances!$G:$G,Data_Balances!$A:$A,$A16,Data_Balances!$B:$B,$B$1,Data_Balances!$H:$H,"Personal Loans")+SUMIFS(Data_Balances!$G:$G,Data_Balances!$A:$A,$A16,Data_Balances!$B:$B,$B$1,Data_Balances!$C:$C,"CC*")</f>
        <v/>
      </c>
      <c r="C16" s="8">
        <f>INDEX(Lookups!$F$3:$H$26,MATCH($A16,Lookups!$E$3:$E$26,0),MATCH($B$2,Lookups!$F$2:$H$2,0))</f>
        <v/>
      </c>
      <c r="D16" s="6">
        <f>B16*C16</f>
        <v/>
      </c>
      <c r="E16" s="6">
        <f>SUMIFS(Data_Originations!$D:$D,Data_Originations!$A:$A,$A16,Data_Originations!$B:$B,$B$1)</f>
        <v/>
      </c>
      <c r="F16" s="6">
        <f>SUMIFS(Data_Originations!$E:$E,Data_Originations!$A:$A,$A16,Data_Originations!$B:$B,$B$1)</f>
        <v/>
      </c>
      <c r="G16" s="6">
        <f>F16*C16</f>
        <v/>
      </c>
      <c r="H16" s="6">
        <f>SUMIFS(Data_Balances!$G:$G,Data_Balances!$A:$A,EOMONTH($A16,-1),Data_Balances!$B:$B,$B$1,Data_Balances!$E:$E,"&gt;=30")</f>
        <v/>
      </c>
      <c r="I16" s="7">
        <f>IFERROR(H16/SUMIFS(Data_Balances!$G:$G,Data_Balances!$A:$A,$A16,Data_Balances!$B:$B,$B$1),0)</f>
        <v/>
      </c>
      <c r="J16" s="6">
        <f>SUMIFS(Data_Balances!$G:$G,Data_Balances!$A:$A,$A16,Data_Balances!$B:$B,$B$1,Data_Balances!$E:$E,"&gt;=90")</f>
        <v/>
      </c>
      <c r="K16" s="7">
        <f>IFERROR(J16/SUMIFS(Data_Balances!$G:$G,Data_Balances!$A:$A,$A16,Data_Balances!$B:$B,$B$1),0)</f>
        <v/>
      </c>
      <c r="L16" s="6">
        <f>SUMIFS(Data_Applications!$D:$D,Data_Applications!$A:$A,$A16,Data_Applications!$B:$B,$B$1)</f>
        <v/>
      </c>
      <c r="M16" s="6">
        <f>SUMIFS(Data_Applications!$E:$E,Data_Applications!$A:$A,$A16,Data_Applications!$B:$B,$B$1)</f>
        <v/>
      </c>
      <c r="N16" s="7">
        <f>IFERROR(M16/L16,0)</f>
        <v/>
      </c>
      <c r="O16" s="6">
        <f>SUMIFS(Data_Balances!$F:$F,Data_Balances!$A:$A,$A16,Data_Balances!$B:$B,$B$1)</f>
        <v/>
      </c>
      <c r="P16" s="6">
        <f>IFERROR(D16/O16,0)</f>
        <v/>
      </c>
    </row>
    <row r="17">
      <c r="A17" s="5" t="n">
        <v>45930</v>
      </c>
      <c r="B17" s="6">
        <f>SUMIFS(Data_Balances!$G:$G,Data_Balances!$A:$A,$A17,Data_Balances!$B:$B,$B$1,Data_Balances!$H:$H,"Personal Loans")+SUMIFS(Data_Balances!$G:$G,Data_Balances!$A:$A,$A17,Data_Balances!$B:$B,$B$1,Data_Balances!$C:$C,"CC*")</f>
        <v/>
      </c>
      <c r="C17" s="8">
        <f>INDEX(Lookups!$F$3:$H$26,MATCH($A17,Lookups!$E$3:$E$26,0),MATCH($B$2,Lookups!$F$2:$H$2,0))</f>
        <v/>
      </c>
      <c r="D17" s="6">
        <f>B17*C17</f>
        <v/>
      </c>
      <c r="E17" s="6">
        <f>SUMIFS(Data_Originations!$D:$D,Data_Originations!$A:$A,$A17,Data_Originations!$B:$B,$B$1)</f>
        <v/>
      </c>
      <c r="F17" s="6">
        <f>SUMIFS(Data_Originations!$E:$E,Data_Originations!$A:$A,$A17,Data_Originations!$B:$B,$B$1)</f>
        <v/>
      </c>
      <c r="G17" s="6">
        <f>F17*C17</f>
        <v/>
      </c>
      <c r="H17" s="6">
        <f>SUMIFS(Data_Balances!$G:$G,Data_Balances!$A:$A,EOMONTH($A17,-1),Data_Balances!$B:$B,$B$1,Data_Balances!$E:$E,"&gt;=30")</f>
        <v/>
      </c>
      <c r="I17" s="7">
        <f>IFERROR(H17/SUMIFS(Data_Balances!$G:$G,Data_Balances!$A:$A,$A17,Data_Balances!$B:$B,$B$1),0)</f>
        <v/>
      </c>
      <c r="J17" s="6">
        <f>SUMIFS(Data_Balances!$G:$G,Data_Balances!$A:$A,$A17,Data_Balances!$B:$B,$B$1,Data_Balances!$E:$E,"&gt;=90")</f>
        <v/>
      </c>
      <c r="K17" s="7">
        <f>IFERROR(J17/SUMIFS(Data_Balances!$G:$G,Data_Balances!$A:$A,$A17,Data_Balances!$B:$B,$B$1),0)</f>
        <v/>
      </c>
      <c r="L17" s="6">
        <f>SUMIFS(Data_Applications!$D:$D,Data_Applications!$A:$A,$A17,Data_Applications!$B:$B,$B$1)</f>
        <v/>
      </c>
      <c r="M17" s="6">
        <f>SUMIFS(Data_Applications!$E:$E,Data_Applications!$A:$A,$A17,Data_Applications!$B:$B,$B$1)</f>
        <v/>
      </c>
      <c r="N17" s="7">
        <f>IFERROR(M17/L17,0)</f>
        <v/>
      </c>
      <c r="O17" s="6">
        <f>SUMIFS(Data_Balances!$F:$F,Data_Balances!$A:$A,$A17,Data_Balances!$B:$B,$B$1)</f>
        <v/>
      </c>
      <c r="P17" s="6">
        <f>IFERROR(D17/O17,0)</f>
        <v/>
      </c>
    </row>
    <row r="18">
      <c r="A18" s="5" t="n">
        <v>45961</v>
      </c>
      <c r="B18" s="6">
        <f>SUMIFS(Data_Balances!$G:$G,Data_Balances!$A:$A,$A18,Data_Balances!$B:$B,$B$1,Data_Balances!$H:$H,"Personal Loans")+SUMIFS(Data_Balances!$G:$G,Data_Balances!$A:$A,$A18,Data_Balances!$B:$B,$B$1,Data_Balances!$C:$C,"CC*")</f>
        <v/>
      </c>
      <c r="C18" s="8">
        <f>INDEX(Lookups!$F$3:$H$26,MATCH($A18,Lookups!$E$3:$E$26,0),MATCH($B$2,Lookups!$F$2:$H$2,0))</f>
        <v/>
      </c>
      <c r="D18" s="6">
        <f>B18*C18</f>
        <v/>
      </c>
      <c r="E18" s="6">
        <f>SUMIFS(Data_Originations!$D:$D,Data_Originations!$A:$A,$A18,Data_Originations!$B:$B,$B$1)</f>
        <v/>
      </c>
      <c r="F18" s="6">
        <f>SUMIFS(Data_Originations!$E:$E,Data_Originations!$A:$A,$A18,Data_Originations!$B:$B,$B$1)</f>
        <v/>
      </c>
      <c r="G18" s="6">
        <f>F18*C18</f>
        <v/>
      </c>
      <c r="H18" s="6">
        <f>SUMIFS(Data_Balances!$G:$G,Data_Balances!$A:$A,EOMONTH($A18,-1),Data_Balances!$B:$B,$B$1,Data_Balances!$E:$E,"&gt;=30")</f>
        <v/>
      </c>
      <c r="I18" s="7">
        <f>IFERROR(H18/SUMIFS(Data_Balances!$G:$G,Data_Balances!$A:$A,$A18,Data_Balances!$B:$B,$B$1),0)</f>
        <v/>
      </c>
      <c r="J18" s="6">
        <f>SUMIFS(Data_Balances!$G:$G,Data_Balances!$A:$A,$A18,Data_Balances!$B:$B,$B$1,Data_Balances!$E:$E,"&gt;=90")</f>
        <v/>
      </c>
      <c r="K18" s="7">
        <f>IFERROR(J18/SUMIFS(Data_Balances!$G:$G,Data_Balances!$A:$A,$A18,Data_Balances!$B:$B,$B$1),0)</f>
        <v/>
      </c>
      <c r="L18" s="6">
        <f>SUMIFS(Data_Applications!$D:$D,Data_Applications!$A:$A,$A18,Data_Applications!$B:$B,$B$1)</f>
        <v/>
      </c>
      <c r="M18" s="6">
        <f>SUMIFS(Data_Applications!$E:$E,Data_Applications!$A:$A,$A18,Data_Applications!$B:$B,$B$1)</f>
        <v/>
      </c>
      <c r="N18" s="7">
        <f>IFERROR(M18/L18,0)</f>
        <v/>
      </c>
      <c r="O18" s="6">
        <f>SUMIFS(Data_Balances!$F:$F,Data_Balances!$A:$A,$A18,Data_Balances!$B:$B,$B$1)</f>
        <v/>
      </c>
      <c r="P18" s="6">
        <f>IFERROR(D18/O18,0)</f>
        <v/>
      </c>
    </row>
    <row r="19">
      <c r="A19" s="5" t="n">
        <v>45991</v>
      </c>
      <c r="B19" s="6">
        <f>SUMIFS(Data_Balances!$G:$G,Data_Balances!$A:$A,$A19,Data_Balances!$B:$B,$B$1,Data_Balances!$H:$H,"Personal Loans")+SUMIFS(Data_Balances!$G:$G,Data_Balances!$A:$A,$A19,Data_Balances!$B:$B,$B$1,Data_Balances!$C:$C,"CC*")</f>
        <v/>
      </c>
      <c r="C19" s="8">
        <f>INDEX(Lookups!$F$3:$H$26,MATCH($A19,Lookups!$E$3:$E$26,0),MATCH($B$2,Lookups!$F$2:$H$2,0))</f>
        <v/>
      </c>
      <c r="D19" s="6">
        <f>B19*C19</f>
        <v/>
      </c>
      <c r="E19" s="6">
        <f>SUMIFS(Data_Originations!$D:$D,Data_Originations!$A:$A,$A19,Data_Originations!$B:$B,$B$1)</f>
        <v/>
      </c>
      <c r="F19" s="6">
        <f>SUMIFS(Data_Originations!$E:$E,Data_Originations!$A:$A,$A19,Data_Originations!$B:$B,$B$1)</f>
        <v/>
      </c>
      <c r="G19" s="6">
        <f>F19*C19</f>
        <v/>
      </c>
      <c r="H19" s="6">
        <f>SUMIFS(Data_Balances!$G:$G,Data_Balances!$A:$A,EOMONTH($A19,-1),Data_Balances!$B:$B,$B$1,Data_Balances!$E:$E,"&gt;=30")</f>
        <v/>
      </c>
      <c r="I19" s="7">
        <f>IFERROR(H19/SUMIFS(Data_Balances!$G:$G,Data_Balances!$A:$A,$A19,Data_Balances!$B:$B,$B$1),0)</f>
        <v/>
      </c>
      <c r="J19" s="6">
        <f>SUMIFS(Data_Balances!$G:$G,Data_Balances!$A:$A,$A19,Data_Balances!$B:$B,$B$1,Data_Balances!$E:$E,"&gt;=90")</f>
        <v/>
      </c>
      <c r="K19" s="7">
        <f>IFERROR(J19/SUMIFS(Data_Balances!$G:$G,Data_Balances!$A:$A,$A19,Data_Balances!$B:$B,$B$1),0)</f>
        <v/>
      </c>
      <c r="L19" s="6">
        <f>SUMIFS(Data_Applications!$D:$D,Data_Applications!$A:$A,$A19,Data_Applications!$B:$B,$B$1)</f>
        <v/>
      </c>
      <c r="M19" s="6">
        <f>SUMIFS(Data_Applications!$E:$E,Data_Applications!$A:$A,$A19,Data_Applications!$B:$B,$B$1)</f>
        <v/>
      </c>
      <c r="N19" s="7">
        <f>IFERROR(M19/L19,0)</f>
        <v/>
      </c>
      <c r="O19" s="6">
        <f>SUMIFS(Data_Balances!$F:$F,Data_Balances!$A:$A,$A19,Data_Balances!$B:$B,$B$1)</f>
        <v/>
      </c>
      <c r="P19" s="6">
        <f>IFERROR(D19/O19,0)</f>
        <v/>
      </c>
    </row>
    <row r="20">
      <c r="A20" s="5" t="n">
        <v>46022</v>
      </c>
      <c r="B20" s="6">
        <f>SUMIFS(Data_Balances!$G:$G,Data_Balances!$A:$A,$A20,Data_Balances!$B:$B,$B$1,Data_Balances!$H:$H,"Personal Loans")+SUMIFS(Data_Balances!$G:$G,Data_Balances!$A:$A,$A20,Data_Balances!$B:$B,$B$1,Data_Balances!$C:$C,"CC*")</f>
        <v/>
      </c>
      <c r="C20" s="8">
        <f>INDEX(Lookups!$F$3:$H$26,MATCH($A20,Lookups!$E$3:$E$26,0),MATCH($B$2,Lookups!$F$2:$H$2,0))</f>
        <v/>
      </c>
      <c r="D20" s="6">
        <f>B20*C20</f>
        <v/>
      </c>
      <c r="E20" s="6">
        <f>SUMIFS(Data_Originations!$D:$D,Data_Originations!$A:$A,$A20,Data_Originations!$B:$B,$B$1)</f>
        <v/>
      </c>
      <c r="F20" s="6">
        <f>SUMIFS(Data_Originations!$E:$E,Data_Originations!$A:$A,$A20,Data_Originations!$B:$B,$B$1)</f>
        <v/>
      </c>
      <c r="G20" s="6">
        <f>F20*C20</f>
        <v/>
      </c>
      <c r="H20" s="6">
        <f>SUMIFS(Data_Balances!$G:$G,Data_Balances!$A:$A,EOMONTH($A20,-1),Data_Balances!$B:$B,$B$1,Data_Balances!$E:$E,"&gt;=30")</f>
        <v/>
      </c>
      <c r="I20" s="7">
        <f>IFERROR(H20/SUMIFS(Data_Balances!$G:$G,Data_Balances!$A:$A,$A20,Data_Balances!$B:$B,$B$1),0)</f>
        <v/>
      </c>
      <c r="J20" s="6">
        <f>SUMIFS(Data_Balances!$G:$G,Data_Balances!$A:$A,$A20,Data_Balances!$B:$B,$B$1,Data_Balances!$E:$E,"&gt;=90")</f>
        <v/>
      </c>
      <c r="K20" s="7">
        <f>IFERROR(J20/SUMIFS(Data_Balances!$G:$G,Data_Balances!$A:$A,$A20,Data_Balances!$B:$B,$B$1),0)</f>
        <v/>
      </c>
      <c r="L20" s="6">
        <f>SUMIFS(Data_Applications!$D:$D,Data_Applications!$A:$A,$A20,Data_Applications!$B:$B,$B$1)</f>
        <v/>
      </c>
      <c r="M20" s="6">
        <f>SUMIFS(Data_Applications!$E:$E,Data_Applications!$A:$A,$A20,Data_Applications!$B:$B,$B$1)</f>
        <v/>
      </c>
      <c r="N20" s="7">
        <f>IFERROR(M20/L20,0)</f>
        <v/>
      </c>
      <c r="O20" s="6">
        <f>SUMIFS(Data_Balances!$F:$F,Data_Balances!$A:$A,$A20,Data_Balances!$B:$B,$B$1)</f>
        <v/>
      </c>
      <c r="P20" s="6">
        <f>IFERROR(D20/O20,0)</f>
        <v/>
      </c>
    </row>
    <row r="21">
      <c r="A21" s="5" t="n">
        <v>46053</v>
      </c>
      <c r="B21" s="6">
        <f>SUMIFS(Data_Balances!$G:$G,Data_Balances!$A:$A,$A21,Data_Balances!$B:$B,$B$1,Data_Balances!$H:$H,"Personal Loans")+SUMIFS(Data_Balances!$G:$G,Data_Balances!$A:$A,$A21,Data_Balances!$B:$B,$B$1,Data_Balances!$C:$C,"CC*")</f>
        <v/>
      </c>
      <c r="C21" s="8">
        <f>INDEX(Lookups!$F$3:$H$26,MATCH($A21,Lookups!$E$3:$E$26,0),MATCH($B$2,Lookups!$F$2:$H$2,0))</f>
        <v/>
      </c>
      <c r="D21" s="6">
        <f>B21*C21</f>
        <v/>
      </c>
      <c r="E21" s="6">
        <f>SUMIFS(Data_Originations!$D:$D,Data_Originations!$A:$A,$A21,Data_Originations!$B:$B,$B$1)</f>
        <v/>
      </c>
      <c r="F21" s="6">
        <f>SUMIFS(Data_Originations!$E:$E,Data_Originations!$A:$A,$A21,Data_Originations!$B:$B,$B$1)</f>
        <v/>
      </c>
      <c r="G21" s="6">
        <f>F21*C21</f>
        <v/>
      </c>
      <c r="H21" s="6">
        <f>SUMIFS(Data_Balances!$G:$G,Data_Balances!$A:$A,EOMONTH($A21,-1),Data_Balances!$B:$B,$B$1,Data_Balances!$E:$E,"&gt;=30")</f>
        <v/>
      </c>
      <c r="I21" s="7">
        <f>IFERROR(H21/SUMIFS(Data_Balances!$G:$G,Data_Balances!$A:$A,$A21,Data_Balances!$B:$B,$B$1),0)</f>
        <v/>
      </c>
      <c r="J21" s="6">
        <f>SUMIFS(Data_Balances!$G:$G,Data_Balances!$A:$A,$A21,Data_Balances!$B:$B,$B$1,Data_Balances!$E:$E,"&gt;=90")</f>
        <v/>
      </c>
      <c r="K21" s="7">
        <f>IFERROR(J21/SUMIFS(Data_Balances!$G:$G,Data_Balances!$A:$A,$A21,Data_Balances!$B:$B,$B$1),0)</f>
        <v/>
      </c>
      <c r="L21" s="6">
        <f>SUMIFS(Data_Applications!$D:$D,Data_Applications!$A:$A,$A21,Data_Applications!$B:$B,$B$1)</f>
        <v/>
      </c>
      <c r="M21" s="6">
        <f>SUMIFS(Data_Applications!$E:$E,Data_Applications!$A:$A,$A21,Data_Applications!$B:$B,$B$1)</f>
        <v/>
      </c>
      <c r="N21" s="7">
        <f>IFERROR(M21/L21,0)</f>
        <v/>
      </c>
      <c r="O21" s="6">
        <f>SUMIFS(Data_Balances!$F:$F,Data_Balances!$A:$A,$A21,Data_Balances!$B:$B,$B$1)</f>
        <v/>
      </c>
      <c r="P21" s="6">
        <f>IFERROR(D21/O21,0)</f>
        <v/>
      </c>
    </row>
    <row r="22">
      <c r="A22" s="5" t="n">
        <v>46081</v>
      </c>
      <c r="B22" s="6">
        <f>SUMIFS(Data_Balances!$G:$G,Data_Balances!$A:$A,$A22,Data_Balances!$B:$B,$B$1,Data_Balances!$H:$H,"Personal Loans")+SUMIFS(Data_Balances!$G:$G,Data_Balances!$A:$A,$A22,Data_Balances!$B:$B,$B$1,Data_Balances!$C:$C,"CC*")</f>
        <v/>
      </c>
      <c r="C22" s="8">
        <f>INDEX(Lookups!$F$3:$H$26,MATCH($A22,Lookups!$E$3:$E$26,0),MATCH($B$2,Lookups!$F$2:$H$2,0))</f>
        <v/>
      </c>
      <c r="D22" s="6">
        <f>B22*C22</f>
        <v/>
      </c>
      <c r="E22" s="6">
        <f>SUMIFS(Data_Originations!$D:$D,Data_Originations!$A:$A,$A22,Data_Originations!$B:$B,$B$1)</f>
        <v/>
      </c>
      <c r="F22" s="6">
        <f>SUMIFS(Data_Originations!$E:$E,Data_Originations!$A:$A,$A22,Data_Originations!$B:$B,$B$1)</f>
        <v/>
      </c>
      <c r="G22" s="6">
        <f>F22*C22</f>
        <v/>
      </c>
      <c r="H22" s="6">
        <f>SUMIFS(Data_Balances!$G:$G,Data_Balances!$A:$A,EOMONTH($A22,-1),Data_Balances!$B:$B,$B$1,Data_Balances!$E:$E,"&gt;=30")</f>
        <v/>
      </c>
      <c r="I22" s="7">
        <f>IFERROR(H22/SUMIFS(Data_Balances!$G:$G,Data_Balances!$A:$A,$A22,Data_Balances!$B:$B,$B$1),0)</f>
        <v/>
      </c>
      <c r="J22" s="6">
        <f>SUMIFS(Data_Balances!$G:$G,Data_Balances!$A:$A,$A22,Data_Balances!$B:$B,$B$1,Data_Balances!$E:$E,"&gt;=90")</f>
        <v/>
      </c>
      <c r="K22" s="7">
        <f>IFERROR(J22/SUMIFS(Data_Balances!$G:$G,Data_Balances!$A:$A,$A22,Data_Balances!$B:$B,$B$1),0)</f>
        <v/>
      </c>
      <c r="L22" s="6">
        <f>SUMIFS(Data_Applications!$D:$D,Data_Applications!$A:$A,$A22,Data_Applications!$B:$B,$B$1)</f>
        <v/>
      </c>
      <c r="M22" s="6">
        <f>SUMIFS(Data_Applications!$E:$E,Data_Applications!$A:$A,$A22,Data_Applications!$B:$B,$B$1)</f>
        <v/>
      </c>
      <c r="N22" s="7">
        <f>IFERROR(M22/L22,0)</f>
        <v/>
      </c>
      <c r="O22" s="6">
        <f>SUMIFS(Data_Balances!$F:$F,Data_Balances!$A:$A,$A22,Data_Balances!$B:$B,$B$1)</f>
        <v/>
      </c>
      <c r="P22" s="6">
        <f>IFERROR(D22/O22,0)</f>
        <v/>
      </c>
    </row>
    <row r="23">
      <c r="A23" s="5" t="n">
        <v>46112</v>
      </c>
      <c r="B23" s="6">
        <f>SUMIFS(Data_Balances!$G:$G,Data_Balances!$A:$A,$A23,Data_Balances!$B:$B,$B$1,Data_Balances!$H:$H,"Personal Loans")+SUMIFS(Data_Balances!$G:$G,Data_Balances!$A:$A,$A23,Data_Balances!$B:$B,$B$1,Data_Balances!$C:$C,"CC*")</f>
        <v/>
      </c>
      <c r="C23" s="8">
        <f>INDEX(Lookups!$F$3:$H$26,MATCH($A23,Lookups!$E$3:$E$26,0),MATCH($B$2,Lookups!$F$2:$H$2,0))</f>
        <v/>
      </c>
      <c r="D23" s="6">
        <f>B23*C23</f>
        <v/>
      </c>
      <c r="E23" s="6">
        <f>SUMIFS(Data_Originations!$D:$D,Data_Originations!$A:$A,$A23,Data_Originations!$B:$B,$B$1)</f>
        <v/>
      </c>
      <c r="F23" s="6">
        <f>SUMIFS(Data_Originations!$E:$E,Data_Originations!$A:$A,$A23,Data_Originations!$B:$B,$B$1)</f>
        <v/>
      </c>
      <c r="G23" s="6">
        <f>F23*C23</f>
        <v/>
      </c>
      <c r="H23" s="6">
        <f>SUMIFS(Data_Balances!$G:$G,Data_Balances!$A:$A,EOMONTH($A23,-1),Data_Balances!$B:$B,$B$1,Data_Balances!$E:$E,"&gt;=30")</f>
        <v/>
      </c>
      <c r="I23" s="7">
        <f>IFERROR(H23/SUMIFS(Data_Balances!$G:$G,Data_Balances!$A:$A,$A23,Data_Balances!$B:$B,$B$1),0)</f>
        <v/>
      </c>
      <c r="J23" s="6">
        <f>SUMIFS(Data_Balances!$G:$G,Data_Balances!$A:$A,$A23,Data_Balances!$B:$B,$B$1,Data_Balances!$E:$E,"&gt;=90")</f>
        <v/>
      </c>
      <c r="K23" s="7">
        <f>IFERROR(J23/SUMIFS(Data_Balances!$G:$G,Data_Balances!$A:$A,$A23,Data_Balances!$B:$B,$B$1),0)</f>
        <v/>
      </c>
      <c r="L23" s="6">
        <f>SUMIFS(Data_Applications!$D:$D,Data_Applications!$A:$A,$A23,Data_Applications!$B:$B,$B$1)</f>
        <v/>
      </c>
      <c r="M23" s="6">
        <f>SUMIFS(Data_Applications!$E:$E,Data_Applications!$A:$A,$A23,Data_Applications!$B:$B,$B$1)</f>
        <v/>
      </c>
      <c r="N23" s="7">
        <f>IFERROR(M23/L23,0)</f>
        <v/>
      </c>
      <c r="O23" s="6">
        <f>SUMIFS(Data_Balances!$F:$F,Data_Balances!$A:$A,$A23,Data_Balances!$B:$B,$B$1)</f>
        <v/>
      </c>
      <c r="P23" s="6">
        <f>IFERROR(D23/O23,0)</f>
        <v/>
      </c>
    </row>
    <row r="24">
      <c r="A24" s="5" t="n">
        <v>46142</v>
      </c>
      <c r="B24" s="6">
        <f>SUMIFS(Data_Balances!$G:$G,Data_Balances!$A:$A,$A24,Data_Balances!$B:$B,$B$1,Data_Balances!$H:$H,"Personal Loans")+SUMIFS(Data_Balances!$G:$G,Data_Balances!$A:$A,$A24,Data_Balances!$B:$B,$B$1,Data_Balances!$C:$C,"CC*")</f>
        <v/>
      </c>
      <c r="C24" s="8">
        <f>INDEX(Lookups!$F$3:$H$26,MATCH($A24,Lookups!$E$3:$E$26,0),MATCH($B$2,Lookups!$F$2:$H$2,0))</f>
        <v/>
      </c>
      <c r="D24" s="6">
        <f>B24*C24</f>
        <v/>
      </c>
      <c r="E24" s="6">
        <f>SUMIFS(Data_Originations!$D:$D,Data_Originations!$A:$A,$A24,Data_Originations!$B:$B,$B$1)</f>
        <v/>
      </c>
      <c r="F24" s="6">
        <f>SUMIFS(Data_Originations!$E:$E,Data_Originations!$A:$A,$A24,Data_Originations!$B:$B,$B$1)</f>
        <v/>
      </c>
      <c r="G24" s="6">
        <f>F24*C24</f>
        <v/>
      </c>
      <c r="H24" s="6">
        <f>SUMIFS(Data_Balances!$G:$G,Data_Balances!$A:$A,EOMONTH($A24,-1),Data_Balances!$B:$B,$B$1,Data_Balances!$E:$E,"&gt;=30")</f>
        <v/>
      </c>
      <c r="I24" s="7">
        <f>IFERROR(H24/SUMIFS(Data_Balances!$G:$G,Data_Balances!$A:$A,$A24,Data_Balances!$B:$B,$B$1),0)</f>
        <v/>
      </c>
      <c r="J24" s="6">
        <f>SUMIFS(Data_Balances!$G:$G,Data_Balances!$A:$A,$A24,Data_Balances!$B:$B,$B$1,Data_Balances!$E:$E,"&gt;=90")</f>
        <v/>
      </c>
      <c r="K24" s="7">
        <f>IFERROR(J24/SUMIFS(Data_Balances!$G:$G,Data_Balances!$A:$A,$A24,Data_Balances!$B:$B,$B$1),0)</f>
        <v/>
      </c>
      <c r="L24" s="6">
        <f>SUMIFS(Data_Applications!$D:$D,Data_Applications!$A:$A,$A24,Data_Applications!$B:$B,$B$1)</f>
        <v/>
      </c>
      <c r="M24" s="6">
        <f>SUMIFS(Data_Applications!$E:$E,Data_Applications!$A:$A,$A24,Data_Applications!$B:$B,$B$1)</f>
        <v/>
      </c>
      <c r="N24" s="7">
        <f>IFERROR(M24/L24,0)</f>
        <v/>
      </c>
      <c r="O24" s="6">
        <f>SUMIFS(Data_Balances!$F:$F,Data_Balances!$A:$A,$A24,Data_Balances!$B:$B,$B$1)</f>
        <v/>
      </c>
      <c r="P24" s="6">
        <f>IFERROR(D24/O24,0)</f>
        <v/>
      </c>
    </row>
    <row r="25">
      <c r="A25" s="5" t="n">
        <v>46173</v>
      </c>
      <c r="B25" s="6">
        <f>SUMIFS(Data_Balances!$G:$G,Data_Balances!$A:$A,$A25,Data_Balances!$B:$B,$B$1,Data_Balances!$H:$H,"Personal Loans")+SUMIFS(Data_Balances!$G:$G,Data_Balances!$A:$A,$A25,Data_Balances!$B:$B,$B$1,Data_Balances!$C:$C,"CC*")</f>
        <v/>
      </c>
      <c r="C25" s="8">
        <f>INDEX(Lookups!$F$3:$H$26,MATCH($A25,Lookups!$E$3:$E$26,0),MATCH($B$2,Lookups!$F$2:$H$2,0))</f>
        <v/>
      </c>
      <c r="D25" s="6">
        <f>B25*C25</f>
        <v/>
      </c>
      <c r="E25" s="6">
        <f>SUMIFS(Data_Originations!$D:$D,Data_Originations!$A:$A,$A25,Data_Originations!$B:$B,$B$1)</f>
        <v/>
      </c>
      <c r="F25" s="6">
        <f>SUMIFS(Data_Originations!$E:$E,Data_Originations!$A:$A,$A25,Data_Originations!$B:$B,$B$1)</f>
        <v/>
      </c>
      <c r="G25" s="6">
        <f>F25*C25</f>
        <v/>
      </c>
      <c r="H25" s="6">
        <f>SUMIFS(Data_Balances!$G:$G,Data_Balances!$A:$A,EOMONTH($A25,-1),Data_Balances!$B:$B,$B$1,Data_Balances!$E:$E,"&gt;=30")</f>
        <v/>
      </c>
      <c r="I25" s="7">
        <f>IFERROR(H25/SUMIFS(Data_Balances!$G:$G,Data_Balances!$A:$A,$A25,Data_Balances!$B:$B,$B$1),0)</f>
        <v/>
      </c>
      <c r="J25" s="6">
        <f>SUMIFS(Data_Balances!$G:$G,Data_Balances!$A:$A,$A25,Data_Balances!$B:$B,$B$1,Data_Balances!$E:$E,"&gt;=90")</f>
        <v/>
      </c>
      <c r="K25" s="7">
        <f>IFERROR(J25/SUMIFS(Data_Balances!$G:$G,Data_Balances!$A:$A,$A25,Data_Balances!$B:$B,$B$1),0)</f>
        <v/>
      </c>
      <c r="L25" s="6">
        <f>SUMIFS(Data_Applications!$D:$D,Data_Applications!$A:$A,$A25,Data_Applications!$B:$B,$B$1)</f>
        <v/>
      </c>
      <c r="M25" s="6">
        <f>SUMIFS(Data_Applications!$E:$E,Data_Applications!$A:$A,$A25,Data_Applications!$B:$B,$B$1)</f>
        <v/>
      </c>
      <c r="N25" s="7">
        <f>IFERROR(M25/L25,0)</f>
        <v/>
      </c>
      <c r="O25" s="6">
        <f>SUMIFS(Data_Balances!$F:$F,Data_Balances!$A:$A,$A25,Data_Balances!$B:$B,$B$1)</f>
        <v/>
      </c>
      <c r="P25" s="6">
        <f>IFERROR(D25/O25,0)</f>
        <v/>
      </c>
    </row>
    <row r="26">
      <c r="A26" s="5" t="n">
        <v>46203</v>
      </c>
      <c r="B26" s="6">
        <f>SUMIFS(Data_Balances!$G:$G,Data_Balances!$A:$A,$A26,Data_Balances!$B:$B,$B$1,Data_Balances!$H:$H,"Personal Loans")+SUMIFS(Data_Balances!$G:$G,Data_Balances!$A:$A,$A26,Data_Balances!$B:$B,$B$1,Data_Balances!$C:$C,"CC*")</f>
        <v/>
      </c>
      <c r="C26" s="8">
        <f>INDEX(Lookups!$F$3:$H$26,MATCH($A26,Lookups!$E$3:$E$26,0),MATCH($B$2,Lookups!$F$2:$H$2,0))</f>
        <v/>
      </c>
      <c r="D26" s="6">
        <f>B26*C26</f>
        <v/>
      </c>
      <c r="E26" s="6">
        <f>SUMIFS(Data_Originations!$D:$D,Data_Originations!$A:$A,$A26,Data_Originations!$B:$B,$B$1)</f>
        <v/>
      </c>
      <c r="F26" s="6">
        <f>SUMIFS(Data_Originations!$E:$E,Data_Originations!$A:$A,$A26,Data_Originations!$B:$B,$B$1)</f>
        <v/>
      </c>
      <c r="G26" s="6">
        <f>F26*C26</f>
        <v/>
      </c>
      <c r="H26" s="6">
        <f>SUMIFS(Data_Balances!$G:$G,Data_Balances!$A:$A,EOMONTH($A26,-1),Data_Balances!$B:$B,$B$1,Data_Balances!$E:$E,"&gt;=30")</f>
        <v/>
      </c>
      <c r="I26" s="7">
        <f>IFERROR(H26/SUMIFS(Data_Balances!$G:$G,Data_Balances!$A:$A,$A26,Data_Balances!$B:$B,$B$1),0)</f>
        <v/>
      </c>
      <c r="J26" s="6">
        <f>SUMIFS(Data_Balances!$G:$G,Data_Balances!$A:$A,$A26,Data_Balances!$B:$B,$B$1,Data_Balances!$E:$E,"&gt;=90")</f>
        <v/>
      </c>
      <c r="K26" s="7">
        <f>IFERROR(J26/SUMIFS(Data_Balances!$G:$G,Data_Balances!$A:$A,$A26,Data_Balances!$B:$B,$B$1),0)</f>
        <v/>
      </c>
      <c r="L26" s="6">
        <f>SUMIFS(Data_Applications!$D:$D,Data_Applications!$A:$A,$A26,Data_Applications!$B:$B,$B$1)</f>
        <v/>
      </c>
      <c r="M26" s="6">
        <f>SUMIFS(Data_Applications!$E:$E,Data_Applications!$A:$A,$A26,Data_Applications!$B:$B,$B$1)</f>
        <v/>
      </c>
      <c r="N26" s="7">
        <f>IFERROR(M26/L26,0)</f>
        <v/>
      </c>
      <c r="O26" s="6">
        <f>SUMIFS(Data_Balances!$F:$F,Data_Balances!$A:$A,$A26,Data_Balances!$B:$B,$B$1)</f>
        <v/>
      </c>
      <c r="P26" s="6">
        <f>IFERROR(D26/O26,0)</f>
        <v/>
      </c>
    </row>
    <row r="27">
      <c r="A27" s="5" t="n">
        <v>46234</v>
      </c>
      <c r="B27" s="6">
        <f>SUMIFS(Data_Balances!$G:$G,Data_Balances!$A:$A,$A27,Data_Balances!$B:$B,$B$1,Data_Balances!$H:$H,"Personal Loans")+SUMIFS(Data_Balances!$G:$G,Data_Balances!$A:$A,$A27,Data_Balances!$B:$B,$B$1,Data_Balances!$C:$C,"CC*")</f>
        <v/>
      </c>
      <c r="C27" s="8">
        <f>INDEX(Lookups!$F$3:$H$26,MATCH($A27,Lookups!$E$3:$E$26,0),MATCH($B$2,Lookups!$F$2:$H$2,0))</f>
        <v/>
      </c>
      <c r="D27" s="6">
        <f>B27*C27</f>
        <v/>
      </c>
      <c r="E27" s="6">
        <f>SUMIFS(Data_Originations!$D:$D,Data_Originations!$A:$A,$A27,Data_Originations!$B:$B,$B$1)</f>
        <v/>
      </c>
      <c r="F27" s="6">
        <f>SUMIFS(Data_Originations!$E:$E,Data_Originations!$A:$A,$A27,Data_Originations!$B:$B,$B$1)</f>
        <v/>
      </c>
      <c r="G27" s="6">
        <f>F27*C27</f>
        <v/>
      </c>
      <c r="H27" s="6">
        <f>SUMIFS(Data_Balances!$G:$G,Data_Balances!$A:$A,EOMONTH($A27,-1),Data_Balances!$B:$B,$B$1,Data_Balances!$E:$E,"&gt;=30")</f>
        <v/>
      </c>
      <c r="I27" s="7">
        <f>IFERROR(H27/SUMIFS(Data_Balances!$G:$G,Data_Balances!$A:$A,$A27,Data_Balances!$B:$B,$B$1),0)</f>
        <v/>
      </c>
      <c r="J27" s="6">
        <f>SUMIFS(Data_Balances!$G:$G,Data_Balances!$A:$A,$A27,Data_Balances!$B:$B,$B$1,Data_Balances!$E:$E,"&gt;=90")</f>
        <v/>
      </c>
      <c r="K27" s="7">
        <f>IFERROR(J27/SUMIFS(Data_Balances!$G:$G,Data_Balances!$A:$A,$A27,Data_Balances!$B:$B,$B$1),0)</f>
        <v/>
      </c>
      <c r="L27" s="6">
        <f>SUMIFS(Data_Applications!$D:$D,Data_Applications!$A:$A,$A27,Data_Applications!$B:$B,$B$1)</f>
        <v/>
      </c>
      <c r="M27" s="6">
        <f>SUMIFS(Data_Applications!$E:$E,Data_Applications!$A:$A,$A27,Data_Applications!$B:$B,$B$1)</f>
        <v/>
      </c>
      <c r="N27" s="7">
        <f>IFERROR(M27/L27,0)</f>
        <v/>
      </c>
      <c r="O27" s="6">
        <f>SUMIFS(Data_Balances!$F:$F,Data_Balances!$A:$A,$A27,Data_Balances!$B:$B,$B$1)</f>
        <v/>
      </c>
      <c r="P27" s="6">
        <f>IFERROR(D27/O27,0)</f>
        <v/>
      </c>
    </row>
    <row r="28">
      <c r="A28" s="5" t="n">
        <v>46265</v>
      </c>
      <c r="B28" s="6">
        <f>SUMIFS(Data_Balances!$G:$G,Data_Balances!$A:$A,$A28,Data_Balances!$B:$B,$B$1,Data_Balances!$H:$H,"Personal Loans")+SUMIFS(Data_Balances!$G:$G,Data_Balances!$A:$A,$A28,Data_Balances!$B:$B,$B$1,Data_Balances!$C:$C,"CC*")</f>
        <v/>
      </c>
      <c r="C28" s="8">
        <f>INDEX(Lookups!$F$3:$H$26,MATCH($A28,Lookups!$E$3:$E$26,0),MATCH($B$2,Lookups!$F$2:$H$2,0))</f>
        <v/>
      </c>
      <c r="D28" s="6">
        <f>B28*C28</f>
        <v/>
      </c>
      <c r="E28" s="6">
        <f>SUMIFS(Data_Originations!$D:$D,Data_Originations!$A:$A,$A28,Data_Originations!$B:$B,$B$1)</f>
        <v/>
      </c>
      <c r="F28" s="6">
        <f>SUMIFS(Data_Originations!$E:$E,Data_Originations!$A:$A,$A28,Data_Originations!$B:$B,$B$1)</f>
        <v/>
      </c>
      <c r="G28" s="6">
        <f>F28*C28</f>
        <v/>
      </c>
      <c r="H28" s="6">
        <f>SUMIFS(Data_Balances!$G:$G,Data_Balances!$A:$A,EOMONTH($A28,-1),Data_Balances!$B:$B,$B$1,Data_Balances!$E:$E,"&gt;=30")</f>
        <v/>
      </c>
      <c r="I28" s="7">
        <f>IFERROR(H28/SUMIFS(Data_Balances!$G:$G,Data_Balances!$A:$A,$A28,Data_Balances!$B:$B,$B$1),0)</f>
        <v/>
      </c>
      <c r="J28" s="6">
        <f>SUMIFS(Data_Balances!$G:$G,Data_Balances!$A:$A,$A28,Data_Balances!$B:$B,$B$1,Data_Balances!$E:$E,"&gt;=90")</f>
        <v/>
      </c>
      <c r="K28" s="7">
        <f>IFERROR(J28/SUMIFS(Data_Balances!$G:$G,Data_Balances!$A:$A,$A28,Data_Balances!$B:$B,$B$1),0)</f>
        <v/>
      </c>
      <c r="L28" s="6">
        <f>SUMIFS(Data_Applications!$D:$D,Data_Applications!$A:$A,$A28,Data_Applications!$B:$B,$B$1)</f>
        <v/>
      </c>
      <c r="M28" s="6">
        <f>SUMIFS(Data_Applications!$E:$E,Data_Applications!$A:$A,$A28,Data_Applications!$B:$B,$B$1)</f>
        <v/>
      </c>
      <c r="N28" s="7">
        <f>IFERROR(M28/L28,0)</f>
        <v/>
      </c>
      <c r="O28" s="6">
        <f>SUMIFS(Data_Balances!$F:$F,Data_Balances!$A:$A,$A28,Data_Balances!$B:$B,$B$1)</f>
        <v/>
      </c>
      <c r="P28" s="6">
        <f>IFERROR(D28/O28,0)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Country</t>
        </is>
      </c>
      <c r="B1" t="inlineStr">
        <is>
          <t>RO</t>
        </is>
      </c>
      <c r="C1" t="inlineStr">
        <is>
          <t>Romania</t>
        </is>
      </c>
    </row>
    <row r="2">
      <c r="A2" s="2" t="inlineStr">
        <is>
          <t>Currency</t>
        </is>
      </c>
      <c r="B2" t="inlineStr">
        <is>
          <t>RON</t>
        </is>
      </c>
    </row>
    <row r="4" ht="45" customHeight="1">
      <c r="A4" s="4" t="inlineStr">
        <is>
          <t>Month end</t>
        </is>
      </c>
      <c r="B4" s="4" t="inlineStr">
        <is>
          <t>Portfolio balance (local)</t>
        </is>
      </c>
      <c r="C4" s="4" t="inlineStr">
        <is>
          <t>FX rate to EUR</t>
        </is>
      </c>
      <c r="D4" s="4" t="inlineStr">
        <is>
          <t>Portfolio balance (EUR)</t>
        </is>
      </c>
      <c r="E4" s="4" t="inlineStr">
        <is>
          <t>New accounts</t>
        </is>
      </c>
      <c r="F4" s="4" t="inlineStr">
        <is>
          <t>New originations (local)</t>
        </is>
      </c>
      <c r="G4" s="4" t="inlineStr">
        <is>
          <t>New originations (EUR)</t>
        </is>
      </c>
      <c r="H4" s="4" t="inlineStr">
        <is>
          <t>Balance 30+ DPD (local)</t>
        </is>
      </c>
      <c r="I4" s="4" t="inlineStr">
        <is>
          <t>30+ DPD rate</t>
        </is>
      </c>
      <c r="J4" s="4" t="inlineStr">
        <is>
          <t>Balance 90+ DPD (local)</t>
        </is>
      </c>
      <c r="K4" s="4" t="inlineStr">
        <is>
          <t>90+ DPD rate</t>
        </is>
      </c>
      <c r="L4" s="4" t="inlineStr">
        <is>
          <t>Applications received</t>
        </is>
      </c>
      <c r="M4" s="4" t="inlineStr">
        <is>
          <t>Applications approved</t>
        </is>
      </c>
      <c r="N4" s="4" t="inlineStr">
        <is>
          <t>Approval rate</t>
        </is>
      </c>
      <c r="O4" s="4" t="inlineStr">
        <is>
          <t>Active accounts</t>
        </is>
      </c>
      <c r="P4" s="4" t="inlineStr">
        <is>
          <t>Avg balance per customer (EUR)</t>
        </is>
      </c>
    </row>
    <row r="5">
      <c r="A5" s="5" t="n">
        <v>45565</v>
      </c>
      <c r="B5" s="6">
        <f>SUMIFS(Data_Balances!$G:$G,Data_Balances!$A:$A,$A5,Data_Balances!$B:$B,$B$1,Data_Balances!$H:$H,"Personal Loans")+SUMIFS(Data_Balances!$G:$G,Data_Balances!$A:$A,$A5,Data_Balances!$B:$B,$B$1,Data_Balances!$C:$C,"CC*")</f>
        <v/>
      </c>
      <c r="C5" s="8">
        <f>INDEX(Lookups!$F$3:$H$26,MATCH($A5,Lookups!$E$3:$E$26,0),MATCH($B$2,Lookups!$F$2:$H$2,0))</f>
        <v/>
      </c>
      <c r="D5" s="6">
        <f>B5*0.2012</f>
        <v/>
      </c>
      <c r="E5" s="6">
        <f>SUMIFS(Data_Originations!$D:$D,Data_Originations!$A:$A,$A5,Data_Originations!$B:$B,$B$1)</f>
        <v/>
      </c>
      <c r="F5" s="6">
        <f>SUMIFS(Data_Originations!$E:$E,Data_Originations!$A:$A,$A5,Data_Originations!$B:$B,$B$1)</f>
        <v/>
      </c>
      <c r="G5" s="6">
        <f>F5*0.2012</f>
        <v/>
      </c>
      <c r="H5" s="6">
        <f>SUMIFS(Data_Balances!$G:$G,Data_Balances!$A:$A,EOMONTH($A5,-1),Data_Balances!$B:$B,$B$1,Data_Balances!$E:$E,"&gt;=30")</f>
        <v/>
      </c>
      <c r="I5" s="7">
        <f>IFERROR(H5/SUMIFS(Data_Balances!$G:$G,Data_Balances!$A:$A,$A5,Data_Balances!$B:$B,$B$1),0)</f>
        <v/>
      </c>
      <c r="J5" s="6">
        <f>SUMIFS(Data_Balances!$G:$G,Data_Balances!$A:$A,$A5,Data_Balances!$B:$B,$B$1,Data_Balances!$E:$E,"&gt;=90")</f>
        <v/>
      </c>
      <c r="K5" s="7">
        <f>IFERROR(J5/SUMIFS(Data_Balances!$G:$G,Data_Balances!$A:$A,$A5,Data_Balances!$B:$B,$B$1),0)</f>
        <v/>
      </c>
      <c r="L5" s="6">
        <f>SUMIFS(Data_Applications!$D:$D,Data_Applications!$A:$A,$A5,Data_Applications!$B:$B,$B$1)</f>
        <v/>
      </c>
      <c r="M5" s="6">
        <f>SUMIFS(Data_Applications!$E:$E,Data_Applications!$A:$A,$A5,Data_Applications!$B:$B,$B$1)</f>
        <v/>
      </c>
      <c r="N5" s="7">
        <f>IFERROR(M5/L5,0)</f>
        <v/>
      </c>
      <c r="O5" s="6">
        <f>SUMIFS(Data_Balances!$F:$F,Data_Balances!$A:$A,$A5,Data_Balances!$B:$B,$B$1)</f>
        <v/>
      </c>
      <c r="P5" s="6">
        <f>IFERROR(D5/O5,0)</f>
        <v/>
      </c>
    </row>
    <row r="6">
      <c r="A6" s="5" t="n">
        <v>45596</v>
      </c>
      <c r="B6" s="6">
        <f>SUMIFS(Data_Balances!$G:$G,Data_Balances!$A:$A,$A6,Data_Balances!$B:$B,$B$1,Data_Balances!$H:$H,"Personal Loans")+SUMIFS(Data_Balances!$G:$G,Data_Balances!$A:$A,$A6,Data_Balances!$B:$B,$B$1,Data_Balances!$C:$C,"CC*")</f>
        <v/>
      </c>
      <c r="C6" s="8">
        <f>INDEX(Lookups!$F$3:$H$26,MATCH($A6,Lookups!$E$3:$E$26,0),MATCH($B$2,Lookups!$F$2:$H$2,0))</f>
        <v/>
      </c>
      <c r="D6" s="6">
        <f>B6*0.2012</f>
        <v/>
      </c>
      <c r="E6" s="6">
        <f>SUMIFS(Data_Originations!$D:$D,Data_Originations!$A:$A,$A6,Data_Originations!$B:$B,$B$1)</f>
        <v/>
      </c>
      <c r="F6" s="6">
        <f>SUMIFS(Data_Originations!$E:$E,Data_Originations!$A:$A,$A6,Data_Originations!$B:$B,$B$1)</f>
        <v/>
      </c>
      <c r="G6" s="6">
        <f>F6*0.2012</f>
        <v/>
      </c>
      <c r="H6" s="6">
        <f>SUMIFS(Data_Balances!$G:$G,Data_Balances!$A:$A,EOMONTH($A6,-1),Data_Balances!$B:$B,$B$1,Data_Balances!$E:$E,"&gt;=30")</f>
        <v/>
      </c>
      <c r="I6" s="7">
        <f>IFERROR(H6/SUMIFS(Data_Balances!$G:$G,Data_Balances!$A:$A,$A6,Data_Balances!$B:$B,$B$1),0)</f>
        <v/>
      </c>
      <c r="J6" s="6">
        <f>SUMIFS(Data_Balances!$G:$G,Data_Balances!$A:$A,$A6,Data_Balances!$B:$B,$B$1,Data_Balances!$E:$E,"&gt;=90")</f>
        <v/>
      </c>
      <c r="K6" s="7">
        <f>IFERROR(J6/SUMIFS(Data_Balances!$G:$G,Data_Balances!$A:$A,$A6,Data_Balances!$B:$B,$B$1),0)</f>
        <v/>
      </c>
      <c r="L6" s="6">
        <f>SUMIFS(Data_Applications!$D:$D,Data_Applications!$A:$A,$A6,Data_Applications!$B:$B,$B$1)</f>
        <v/>
      </c>
      <c r="M6" s="6">
        <f>SUMIFS(Data_Applications!$E:$E,Data_Applications!$A:$A,$A6,Data_Applications!$B:$B,$B$1)</f>
        <v/>
      </c>
      <c r="N6" s="7">
        <f>IFERROR(M6/L6,0)</f>
        <v/>
      </c>
      <c r="O6" s="6">
        <f>SUMIFS(Data_Balances!$F:$F,Data_Balances!$A:$A,$A6,Data_Balances!$B:$B,$B$1)</f>
        <v/>
      </c>
      <c r="P6" s="6">
        <f>IFERROR(D6/O6,0)</f>
        <v/>
      </c>
    </row>
    <row r="7">
      <c r="A7" s="5" t="n">
        <v>45626</v>
      </c>
      <c r="B7" s="6">
        <f>SUMIFS(Data_Balances!$G:$G,Data_Balances!$A:$A,$A7,Data_Balances!$B:$B,$B$1,Data_Balances!$H:$H,"Personal Loans")+SUMIFS(Data_Balances!$G:$G,Data_Balances!$A:$A,$A7,Data_Balances!$B:$B,$B$1,Data_Balances!$C:$C,"CC*")</f>
        <v/>
      </c>
      <c r="C7" s="8">
        <f>INDEX(Lookups!$F$3:$H$26,MATCH($A7,Lookups!$E$3:$E$26,0),MATCH($B$2,Lookups!$F$2:$H$2,0))</f>
        <v/>
      </c>
      <c r="D7" s="6">
        <f>B7*0.2012</f>
        <v/>
      </c>
      <c r="E7" s="6">
        <f>SUMIFS(Data_Originations!$D:$D,Data_Originations!$A:$A,$A7,Data_Originations!$B:$B,$B$1)</f>
        <v/>
      </c>
      <c r="F7" s="6">
        <f>SUMIFS(Data_Originations!$E:$E,Data_Originations!$A:$A,$A7,Data_Originations!$B:$B,$B$1)</f>
        <v/>
      </c>
      <c r="G7" s="6">
        <f>F7*0.2012</f>
        <v/>
      </c>
      <c r="H7" s="6">
        <f>SUMIFS(Data_Balances!$G:$G,Data_Balances!$A:$A,EOMONTH($A7,-1),Data_Balances!$B:$B,$B$1,Data_Balances!$E:$E,"&gt;=30")</f>
        <v/>
      </c>
      <c r="I7" s="7">
        <f>IFERROR(H7/SUMIFS(Data_Balances!$G:$G,Data_Balances!$A:$A,$A7,Data_Balances!$B:$B,$B$1),0)</f>
        <v/>
      </c>
      <c r="J7" s="6">
        <f>SUMIFS(Data_Balances!$G:$G,Data_Balances!$A:$A,$A7,Data_Balances!$B:$B,$B$1,Data_Balances!$E:$E,"&gt;=90")</f>
        <v/>
      </c>
      <c r="K7" s="7">
        <f>IFERROR(J7/SUMIFS(Data_Balances!$G:$G,Data_Balances!$A:$A,$A7,Data_Balances!$B:$B,$B$1),0)</f>
        <v/>
      </c>
      <c r="L7" s="6">
        <f>SUMIFS(Data_Applications!$D:$D,Data_Applications!$A:$A,$A7,Data_Applications!$B:$B,$B$1)</f>
        <v/>
      </c>
      <c r="M7" s="6">
        <f>SUMIFS(Data_Applications!$E:$E,Data_Applications!$A:$A,$A7,Data_Applications!$B:$B,$B$1)</f>
        <v/>
      </c>
      <c r="N7" s="7">
        <f>IFERROR(M7/L7,0)</f>
        <v/>
      </c>
      <c r="O7" s="6">
        <f>SUMIFS(Data_Balances!$F:$F,Data_Balances!$A:$A,$A7,Data_Balances!$B:$B,$B$1)</f>
        <v/>
      </c>
      <c r="P7" s="6">
        <f>IFERROR(D7/O7,0)</f>
        <v/>
      </c>
    </row>
    <row r="8">
      <c r="A8" s="5" t="n">
        <v>45657</v>
      </c>
      <c r="B8" s="6">
        <f>SUMIFS(Data_Balances!$G:$G,Data_Balances!$A:$A,$A8,Data_Balances!$B:$B,$B$1,Data_Balances!$H:$H,"Personal Loans")+SUMIFS(Data_Balances!$G:$G,Data_Balances!$A:$A,$A8,Data_Balances!$B:$B,$B$1,Data_Balances!$C:$C,"CC*")</f>
        <v/>
      </c>
      <c r="C8" s="8">
        <f>INDEX(Lookups!$F$3:$H$26,MATCH($A8,Lookups!$E$3:$E$26,0),MATCH($B$2,Lookups!$F$2:$H$2,0))</f>
        <v/>
      </c>
      <c r="D8" s="6">
        <f>B8*0.2012</f>
        <v/>
      </c>
      <c r="E8" s="6">
        <f>SUMIFS(Data_Originations!$D:$D,Data_Originations!$A:$A,$A8,Data_Originations!$B:$B,$B$1)</f>
        <v/>
      </c>
      <c r="F8" s="6">
        <f>SUMIFS(Data_Originations!$E:$E,Data_Originations!$A:$A,$A8,Data_Originations!$B:$B,$B$1)</f>
        <v/>
      </c>
      <c r="G8" s="6">
        <f>F8*0.2012</f>
        <v/>
      </c>
      <c r="H8" s="6">
        <f>SUMIFS(Data_Balances!$G:$G,Data_Balances!$A:$A,EOMONTH($A8,-1),Data_Balances!$B:$B,$B$1,Data_Balances!$E:$E,"&gt;=30")</f>
        <v/>
      </c>
      <c r="I8" s="7">
        <f>IFERROR(H8/SUMIFS(Data_Balances!$G:$G,Data_Balances!$A:$A,$A8,Data_Balances!$B:$B,$B$1),0)</f>
        <v/>
      </c>
      <c r="J8" s="6">
        <f>SUMIFS(Data_Balances!$G:$G,Data_Balances!$A:$A,$A8,Data_Balances!$B:$B,$B$1,Data_Balances!$E:$E,"&gt;=90")</f>
        <v/>
      </c>
      <c r="K8" s="7">
        <f>IFERROR(J8/SUMIFS(Data_Balances!$G:$G,Data_Balances!$A:$A,$A8,Data_Balances!$B:$B,$B$1),0)</f>
        <v/>
      </c>
      <c r="L8" s="6">
        <f>SUMIFS(Data_Applications!$D:$D,Data_Applications!$A:$A,$A8,Data_Applications!$B:$B,$B$1)</f>
        <v/>
      </c>
      <c r="M8" s="6">
        <f>SUMIFS(Data_Applications!$E:$E,Data_Applications!$A:$A,$A8,Data_Applications!$B:$B,$B$1)</f>
        <v/>
      </c>
      <c r="N8" s="7">
        <f>IFERROR(M8/L8,0)</f>
        <v/>
      </c>
      <c r="O8" s="6">
        <f>SUMIFS(Data_Balances!$F:$F,Data_Balances!$A:$A,$A8,Data_Balances!$B:$B,$B$1)</f>
        <v/>
      </c>
      <c r="P8" s="6">
        <f>IFERROR(D8/O8,0)</f>
        <v/>
      </c>
    </row>
    <row r="9">
      <c r="A9" s="5" t="n">
        <v>45688</v>
      </c>
      <c r="B9" s="6">
        <f>SUMIFS(Data_Balances!$G:$G,Data_Balances!$A:$A,$A9,Data_Balances!$B:$B,$B$1,Data_Balances!$H:$H,"Personal Loans")+SUMIFS(Data_Balances!$G:$G,Data_Balances!$A:$A,$A9,Data_Balances!$B:$B,$B$1,Data_Balances!$C:$C,"CC*")</f>
        <v/>
      </c>
      <c r="C9" s="8">
        <f>INDEX(Lookups!$F$3:$H$26,MATCH($A9,Lookups!$E$3:$E$26,0),MATCH($B$2,Lookups!$F$2:$H$2,0))</f>
        <v/>
      </c>
      <c r="D9" s="6">
        <f>B9*0.2012</f>
        <v/>
      </c>
      <c r="E9" s="6">
        <f>SUMIFS(Data_Originations!$D:$D,Data_Originations!$A:$A,$A9,Data_Originations!$B:$B,$B$1)</f>
        <v/>
      </c>
      <c r="F9" s="6">
        <f>SUMIFS(Data_Originations!$E:$E,Data_Originations!$A:$A,$A9,Data_Originations!$B:$B,$B$1)</f>
        <v/>
      </c>
      <c r="G9" s="6">
        <f>F9*0.2012</f>
        <v/>
      </c>
      <c r="H9" s="6">
        <f>SUMIFS(Data_Balances!$G:$G,Data_Balances!$A:$A,EOMONTH($A9,-1),Data_Balances!$B:$B,$B$1,Data_Balances!$E:$E,"&gt;=30")</f>
        <v/>
      </c>
      <c r="I9" s="7">
        <f>IFERROR(H9/SUMIFS(Data_Balances!$G:$G,Data_Balances!$A:$A,$A9,Data_Balances!$B:$B,$B$1),0)</f>
        <v/>
      </c>
      <c r="J9" s="6">
        <f>SUMIFS(Data_Balances!$G:$G,Data_Balances!$A:$A,$A9,Data_Balances!$B:$B,$B$1,Data_Balances!$E:$E,"&gt;=90")</f>
        <v/>
      </c>
      <c r="K9" s="7">
        <f>IFERROR(J9/SUMIFS(Data_Balances!$G:$G,Data_Balances!$A:$A,$A9,Data_Balances!$B:$B,$B$1),0)</f>
        <v/>
      </c>
      <c r="L9" s="6">
        <f>SUMIFS(Data_Applications!$D:$D,Data_Applications!$A:$A,$A9,Data_Applications!$B:$B,$B$1)</f>
        <v/>
      </c>
      <c r="M9" s="6">
        <f>SUMIFS(Data_Applications!$E:$E,Data_Applications!$A:$A,$A9,Data_Applications!$B:$B,$B$1)</f>
        <v/>
      </c>
      <c r="N9" s="7">
        <f>IFERROR(M9/L9,0)</f>
        <v/>
      </c>
      <c r="O9" s="6">
        <f>SUMIFS(Data_Balances!$F:$F,Data_Balances!$A:$A,$A9,Data_Balances!$B:$B,$B$1)</f>
        <v/>
      </c>
      <c r="P9" s="6">
        <f>IFERROR(D9/O9,0)</f>
        <v/>
      </c>
    </row>
    <row r="10">
      <c r="A10" s="5" t="n">
        <v>45716</v>
      </c>
      <c r="B10" s="6">
        <f>SUMIFS(Data_Balances!$G:$G,Data_Balances!$A:$A,$A10,Data_Balances!$B:$B,$B$1,Data_Balances!$H:$H,"Personal Loans")+SUMIFS(Data_Balances!$G:$G,Data_Balances!$A:$A,$A10,Data_Balances!$B:$B,$B$1,Data_Balances!$C:$C,"CC*")</f>
        <v/>
      </c>
      <c r="C10" s="8">
        <f>INDEX(Lookups!$F$3:$H$26,MATCH($A10,Lookups!$E$3:$E$26,0),MATCH($B$2,Lookups!$F$2:$H$2,0))</f>
        <v/>
      </c>
      <c r="D10" s="6">
        <f>B10*0.2012</f>
        <v/>
      </c>
      <c r="E10" s="6">
        <f>SUMIFS(Data_Originations!$D:$D,Data_Originations!$A:$A,$A10,Data_Originations!$B:$B,$B$1)</f>
        <v/>
      </c>
      <c r="F10" s="6">
        <f>SUMIFS(Data_Originations!$E:$E,Data_Originations!$A:$A,$A10,Data_Originations!$B:$B,$B$1)</f>
        <v/>
      </c>
      <c r="G10" s="6">
        <f>F10*0.2012</f>
        <v/>
      </c>
      <c r="H10" s="6">
        <f>SUMIFS(Data_Balances!$G:$G,Data_Balances!$A:$A,EOMONTH($A10,-1),Data_Balances!$B:$B,$B$1,Data_Balances!$E:$E,"&gt;=30")</f>
        <v/>
      </c>
      <c r="I10" s="7">
        <f>IFERROR(H10/SUMIFS(Data_Balances!$G:$G,Data_Balances!$A:$A,$A10,Data_Balances!$B:$B,$B$1),0)</f>
        <v/>
      </c>
      <c r="J10" s="6">
        <f>SUMIFS(Data_Balances!$G:$G,Data_Balances!$A:$A,$A10,Data_Balances!$B:$B,$B$1,Data_Balances!$E:$E,"&gt;=90")</f>
        <v/>
      </c>
      <c r="K10" s="7">
        <f>IFERROR(J10/SUMIFS(Data_Balances!$G:$G,Data_Balances!$A:$A,$A10,Data_Balances!$B:$B,$B$1),0)</f>
        <v/>
      </c>
      <c r="L10" s="6">
        <f>SUMIFS(Data_Applications!$D:$D,Data_Applications!$A:$A,$A10,Data_Applications!$B:$B,$B$1)</f>
        <v/>
      </c>
      <c r="M10" s="6">
        <f>SUMIFS(Data_Applications!$E:$E,Data_Applications!$A:$A,$A10,Data_Applications!$B:$B,$B$1)</f>
        <v/>
      </c>
      <c r="N10" s="7">
        <f>IFERROR(M10/L10,0)</f>
        <v/>
      </c>
      <c r="O10" s="6">
        <f>SUMIFS(Data_Balances!$F:$F,Data_Balances!$A:$A,$A10,Data_Balances!$B:$B,$B$1)</f>
        <v/>
      </c>
      <c r="P10" s="6">
        <f>IFERROR(D10/O10,0)</f>
        <v/>
      </c>
    </row>
    <row r="11">
      <c r="A11" s="5" t="n">
        <v>45747</v>
      </c>
      <c r="B11" s="6">
        <f>SUMIFS(Data_Balances!$G:$G,Data_Balances!$A:$A,$A11,Data_Balances!$B:$B,$B$1,Data_Balances!$H:$H,"Personal Loans")+SUMIFS(Data_Balances!$G:$G,Data_Balances!$A:$A,$A11,Data_Balances!$B:$B,$B$1,Data_Balances!$C:$C,"CC*")</f>
        <v/>
      </c>
      <c r="C11" s="8">
        <f>INDEX(Lookups!$F$3:$H$26,MATCH($A11,Lookups!$E$3:$E$26,0),MATCH($B$2,Lookups!$F$2:$H$2,0))</f>
        <v/>
      </c>
      <c r="D11" s="6">
        <f>B11*0.2012</f>
        <v/>
      </c>
      <c r="E11" s="6">
        <f>SUMIFS(Data_Originations!$D:$D,Data_Originations!$A:$A,$A11,Data_Originations!$B:$B,$B$1)</f>
        <v/>
      </c>
      <c r="F11" s="6">
        <f>SUMIFS(Data_Originations!$E:$E,Data_Originations!$A:$A,$A11,Data_Originations!$B:$B,$B$1)</f>
        <v/>
      </c>
      <c r="G11" s="6">
        <f>F11*0.2012</f>
        <v/>
      </c>
      <c r="H11" s="6">
        <f>SUMIFS(Data_Balances!$G:$G,Data_Balances!$A:$A,EOMONTH($A11,-1),Data_Balances!$B:$B,$B$1,Data_Balances!$E:$E,"&gt;=30")</f>
        <v/>
      </c>
      <c r="I11" s="7">
        <f>IFERROR(H11/SUMIFS(Data_Balances!$G:$G,Data_Balances!$A:$A,$A11,Data_Balances!$B:$B,$B$1),0)</f>
        <v/>
      </c>
      <c r="J11" s="6">
        <f>SUMIFS(Data_Balances!$G:$G,Data_Balances!$A:$A,$A11,Data_Balances!$B:$B,$B$1,Data_Balances!$E:$E,"&gt;=90")</f>
        <v/>
      </c>
      <c r="K11" s="7">
        <f>IFERROR(J11/SUMIFS(Data_Balances!$G:$G,Data_Balances!$A:$A,$A11,Data_Balances!$B:$B,$B$1),0)</f>
        <v/>
      </c>
      <c r="L11" s="6">
        <f>SUMIFS(Data_Applications!$D:$D,Data_Applications!$A:$A,$A11,Data_Applications!$B:$B,$B$1)</f>
        <v/>
      </c>
      <c r="M11" s="6">
        <f>SUMIFS(Data_Applications!$E:$E,Data_Applications!$A:$A,$A11,Data_Applications!$B:$B,$B$1)</f>
        <v/>
      </c>
      <c r="N11" s="7">
        <f>IFERROR(M11/L11,0)</f>
        <v/>
      </c>
      <c r="O11" s="6">
        <f>SUMIFS(Data_Balances!$F:$F,Data_Balances!$A:$A,$A11,Data_Balances!$B:$B,$B$1)</f>
        <v/>
      </c>
      <c r="P11" s="6">
        <f>IFERROR(D11/O11,0)</f>
        <v/>
      </c>
    </row>
    <row r="12">
      <c r="A12" s="5" t="n">
        <v>45777</v>
      </c>
      <c r="B12" s="6">
        <f>SUMIFS(Data_Balances!$G:$G,Data_Balances!$A:$A,$A12,Data_Balances!$B:$B,$B$1,Data_Balances!$H:$H,"Personal Loans")+SUMIFS(Data_Balances!$G:$G,Data_Balances!$A:$A,$A12,Data_Balances!$B:$B,$B$1,Data_Balances!$C:$C,"CC*")</f>
        <v/>
      </c>
      <c r="C12" s="8">
        <f>INDEX(Lookups!$F$3:$H$26,MATCH($A12,Lookups!$E$3:$E$26,0),MATCH($B$2,Lookups!$F$2:$H$2,0))</f>
        <v/>
      </c>
      <c r="D12" s="6">
        <f>B12*0.2012</f>
        <v/>
      </c>
      <c r="E12" s="6">
        <f>SUMIFS(Data_Originations!$D:$D,Data_Originations!$A:$A,$A12,Data_Originations!$B:$B,$B$1)</f>
        <v/>
      </c>
      <c r="F12" s="6">
        <f>SUMIFS(Data_Originations!$E:$E,Data_Originations!$A:$A,$A12,Data_Originations!$B:$B,$B$1)</f>
        <v/>
      </c>
      <c r="G12" s="6">
        <f>F12*0.2012</f>
        <v/>
      </c>
      <c r="H12" s="6">
        <f>SUMIFS(Data_Balances!$G:$G,Data_Balances!$A:$A,EOMONTH($A12,-1),Data_Balances!$B:$B,$B$1,Data_Balances!$E:$E,"&gt;=30")</f>
        <v/>
      </c>
      <c r="I12" s="7">
        <f>IFERROR(H12/SUMIFS(Data_Balances!$G:$G,Data_Balances!$A:$A,$A12,Data_Balances!$B:$B,$B$1),0)</f>
        <v/>
      </c>
      <c r="J12" s="6">
        <f>SUMIFS(Data_Balances!$G:$G,Data_Balances!$A:$A,$A12,Data_Balances!$B:$B,$B$1,Data_Balances!$E:$E,"&gt;=90")</f>
        <v/>
      </c>
      <c r="K12" s="7">
        <f>IFERROR(J12/SUMIFS(Data_Balances!$G:$G,Data_Balances!$A:$A,$A12,Data_Balances!$B:$B,$B$1),0)</f>
        <v/>
      </c>
      <c r="L12" s="6">
        <f>SUMIFS(Data_Applications!$D:$D,Data_Applications!$A:$A,$A12,Data_Applications!$B:$B,$B$1)</f>
        <v/>
      </c>
      <c r="M12" s="6">
        <f>SUMIFS(Data_Applications!$E:$E,Data_Applications!$A:$A,$A12,Data_Applications!$B:$B,$B$1)</f>
        <v/>
      </c>
      <c r="N12" s="7">
        <f>IFERROR(M12/L12,0)</f>
        <v/>
      </c>
      <c r="O12" s="6">
        <f>SUMIFS(Data_Balances!$F:$F,Data_Balances!$A:$A,$A12,Data_Balances!$B:$B,$B$1)</f>
        <v/>
      </c>
      <c r="P12" s="6">
        <f>IFERROR(D12/O12,0)</f>
        <v/>
      </c>
    </row>
    <row r="13">
      <c r="A13" s="5" t="n">
        <v>45808</v>
      </c>
      <c r="B13" s="6">
        <f>SUMIFS(Data_Balances!$G:$G,Data_Balances!$A:$A,$A13,Data_Balances!$B:$B,$B$1,Data_Balances!$H:$H,"Personal Loans")+SUMIFS(Data_Balances!$G:$G,Data_Balances!$A:$A,$A13,Data_Balances!$B:$B,$B$1,Data_Balances!$C:$C,"CC*")</f>
        <v/>
      </c>
      <c r="C13" s="8">
        <f>INDEX(Lookups!$F$3:$H$26,MATCH($A13,Lookups!$E$3:$E$26,0),MATCH($B$2,Lookups!$F$2:$H$2,0))</f>
        <v/>
      </c>
      <c r="D13" s="6">
        <f>B13*0.2012</f>
        <v/>
      </c>
      <c r="E13" s="6">
        <f>SUMIFS(Data_Originations!$D:$D,Data_Originations!$A:$A,$A13,Data_Originations!$B:$B,$B$1)</f>
        <v/>
      </c>
      <c r="F13" s="6">
        <f>SUMIFS(Data_Originations!$E:$E,Data_Originations!$A:$A,$A13,Data_Originations!$B:$B,$B$1)</f>
        <v/>
      </c>
      <c r="G13" s="6">
        <f>F13*0.2012</f>
        <v/>
      </c>
      <c r="H13" s="6">
        <f>SUMIFS(Data_Balances!$G:$G,Data_Balances!$A:$A,EOMONTH($A13,-1),Data_Balances!$B:$B,$B$1,Data_Balances!$E:$E,"&gt;=30")</f>
        <v/>
      </c>
      <c r="I13" s="7">
        <f>IFERROR(H13/SUMIFS(Data_Balances!$G:$G,Data_Balances!$A:$A,$A13,Data_Balances!$B:$B,$B$1),0)</f>
        <v/>
      </c>
      <c r="J13" s="6">
        <f>SUMIFS(Data_Balances!$G:$G,Data_Balances!$A:$A,$A13,Data_Balances!$B:$B,$B$1,Data_Balances!$E:$E,"&gt;=90")</f>
        <v/>
      </c>
      <c r="K13" s="7">
        <f>IFERROR(J13/SUMIFS(Data_Balances!$G:$G,Data_Balances!$A:$A,$A13,Data_Balances!$B:$B,$B$1),0)</f>
        <v/>
      </c>
      <c r="L13" s="6">
        <f>SUMIFS(Data_Applications!$D:$D,Data_Applications!$A:$A,$A13,Data_Applications!$B:$B,$B$1)</f>
        <v/>
      </c>
      <c r="M13" s="6">
        <f>SUMIFS(Data_Applications!$E:$E,Data_Applications!$A:$A,$A13,Data_Applications!$B:$B,$B$1)</f>
        <v/>
      </c>
      <c r="N13" s="7">
        <f>IFERROR(M13/L13,0)</f>
        <v/>
      </c>
      <c r="O13" s="6">
        <f>SUMIFS(Data_Balances!$F:$F,Data_Balances!$A:$A,$A13,Data_Balances!$B:$B,$B$1)</f>
        <v/>
      </c>
      <c r="P13" s="6">
        <f>IFERROR(D13/O13,0)</f>
        <v/>
      </c>
    </row>
    <row r="14">
      <c r="A14" s="5" t="n">
        <v>45838</v>
      </c>
      <c r="B14" s="6">
        <f>SUMIFS(Data_Balances!$G:$G,Data_Balances!$A:$A,$A14,Data_Balances!$B:$B,$B$1,Data_Balances!$H:$H,"Personal Loans")+SUMIFS(Data_Balances!$G:$G,Data_Balances!$A:$A,$A14,Data_Balances!$B:$B,$B$1,Data_Balances!$C:$C,"CC*")</f>
        <v/>
      </c>
      <c r="C14" s="8">
        <f>INDEX(Lookups!$F$3:$H$26,MATCH($A14,Lookups!$E$3:$E$26,0),MATCH($B$2,Lookups!$F$2:$H$2,0))</f>
        <v/>
      </c>
      <c r="D14" s="6">
        <f>B14*0.2012</f>
        <v/>
      </c>
      <c r="E14" s="6">
        <f>SUMIFS(Data_Originations!$D:$D,Data_Originations!$A:$A,$A14,Data_Originations!$B:$B,$B$1)</f>
        <v/>
      </c>
      <c r="F14" s="6">
        <f>SUMIFS(Data_Originations!$E:$E,Data_Originations!$A:$A,$A14,Data_Originations!$B:$B,$B$1)</f>
        <v/>
      </c>
      <c r="G14" s="6">
        <f>F14*0.2012</f>
        <v/>
      </c>
      <c r="H14" s="6">
        <f>SUMIFS(Data_Balances!$G:$G,Data_Balances!$A:$A,EOMONTH($A14,-1),Data_Balances!$B:$B,$B$1,Data_Balances!$E:$E,"&gt;=30")</f>
        <v/>
      </c>
      <c r="I14" s="7">
        <f>IFERROR(H14/SUMIFS(Data_Balances!$G:$G,Data_Balances!$A:$A,$A14,Data_Balances!$B:$B,$B$1),0)</f>
        <v/>
      </c>
      <c r="J14" s="6">
        <f>SUMIFS(Data_Balances!$G:$G,Data_Balances!$A:$A,$A14,Data_Balances!$B:$B,$B$1,Data_Balances!$E:$E,"&gt;=90")</f>
        <v/>
      </c>
      <c r="K14" s="7">
        <f>IFERROR(J14/SUMIFS(Data_Balances!$G:$G,Data_Balances!$A:$A,$A14,Data_Balances!$B:$B,$B$1),0)</f>
        <v/>
      </c>
      <c r="L14" s="6">
        <f>SUMIFS(Data_Applications!$D:$D,Data_Applications!$A:$A,$A14,Data_Applications!$B:$B,$B$1)</f>
        <v/>
      </c>
      <c r="M14" s="6">
        <f>SUMIFS(Data_Applications!$E:$E,Data_Applications!$A:$A,$A14,Data_Applications!$B:$B,$B$1)</f>
        <v/>
      </c>
      <c r="N14" s="7">
        <f>IFERROR(M14/L14,0)</f>
        <v/>
      </c>
      <c r="O14" s="6">
        <f>SUMIFS(Data_Balances!$F:$F,Data_Balances!$A:$A,$A14,Data_Balances!$B:$B,$B$1)</f>
        <v/>
      </c>
      <c r="P14" s="6">
        <f>IFERROR(D14/O14,0)</f>
        <v/>
      </c>
    </row>
    <row r="15">
      <c r="A15" s="5" t="n">
        <v>45869</v>
      </c>
      <c r="B15" s="6">
        <f>SUMIFS(Data_Balances!$G:$G,Data_Balances!$A:$A,$A15,Data_Balances!$B:$B,$B$1,Data_Balances!$H:$H,"Personal Loans")+SUMIFS(Data_Balances!$G:$G,Data_Balances!$A:$A,$A15,Data_Balances!$B:$B,$B$1,Data_Balances!$C:$C,"CC*")</f>
        <v/>
      </c>
      <c r="C15" s="8">
        <f>INDEX(Lookups!$F$3:$H$26,MATCH($A15,Lookups!$E$3:$E$26,0),MATCH($B$2,Lookups!$F$2:$H$2,0))</f>
        <v/>
      </c>
      <c r="D15" s="6">
        <f>B15*0.2012</f>
        <v/>
      </c>
      <c r="E15" s="6">
        <f>SUMIFS(Data_Originations!$D:$D,Data_Originations!$A:$A,$A15,Data_Originations!$B:$B,$B$1)</f>
        <v/>
      </c>
      <c r="F15" s="6">
        <f>SUMIFS(Data_Originations!$E:$E,Data_Originations!$A:$A,$A15,Data_Originations!$B:$B,$B$1)</f>
        <v/>
      </c>
      <c r="G15" s="6">
        <f>F15*0.2012</f>
        <v/>
      </c>
      <c r="H15" s="6">
        <f>SUMIFS(Data_Balances!$G:$G,Data_Balances!$A:$A,EOMONTH($A15,-1),Data_Balances!$B:$B,$B$1,Data_Balances!$E:$E,"&gt;=30")</f>
        <v/>
      </c>
      <c r="I15" s="7">
        <f>IFERROR(H15/SUMIFS(Data_Balances!$G:$G,Data_Balances!$A:$A,$A15,Data_Balances!$B:$B,$B$1),0)</f>
        <v/>
      </c>
      <c r="J15" s="6">
        <f>SUMIFS(Data_Balances!$G:$G,Data_Balances!$A:$A,$A15,Data_Balances!$B:$B,$B$1,Data_Balances!$E:$E,"&gt;=90")</f>
        <v/>
      </c>
      <c r="K15" s="7">
        <f>IFERROR(J15/SUMIFS(Data_Balances!$G:$G,Data_Balances!$A:$A,$A15,Data_Balances!$B:$B,$B$1),0)</f>
        <v/>
      </c>
      <c r="L15" s="6">
        <f>SUMIFS(Data_Applications!$D:$D,Data_Applications!$A:$A,$A15,Data_Applications!$B:$B,$B$1)</f>
        <v/>
      </c>
      <c r="M15" s="6">
        <f>SUMIFS(Data_Applications!$E:$E,Data_Applications!$A:$A,$A15,Data_Applications!$B:$B,$B$1)</f>
        <v/>
      </c>
      <c r="N15" s="7">
        <f>IFERROR(M15/L15,0)</f>
        <v/>
      </c>
      <c r="O15" s="6">
        <f>SUMIFS(Data_Balances!$F:$F,Data_Balances!$A:$A,$A15,Data_Balances!$B:$B,$B$1)</f>
        <v/>
      </c>
      <c r="P15" s="6">
        <f>IFERROR(D15/O15,0)</f>
        <v/>
      </c>
    </row>
    <row r="16">
      <c r="A16" s="5" t="n">
        <v>45900</v>
      </c>
      <c r="B16" s="6">
        <f>SUMIFS(Data_Balances!$G:$G,Data_Balances!$A:$A,$A16,Data_Balances!$B:$B,$B$1,Data_Balances!$H:$H,"Personal Loans")+SUMIFS(Data_Balances!$G:$G,Data_Balances!$A:$A,$A16,Data_Balances!$B:$B,$B$1,Data_Balances!$C:$C,"CC*")</f>
        <v/>
      </c>
      <c r="C16" s="8">
        <f>INDEX(Lookups!$F$3:$H$26,MATCH($A16,Lookups!$E$3:$E$26,0),MATCH($B$2,Lookups!$F$2:$H$2,0))</f>
        <v/>
      </c>
      <c r="D16" s="6">
        <f>B16*0.2012</f>
        <v/>
      </c>
      <c r="E16" s="6">
        <f>SUMIFS(Data_Originations!$D:$D,Data_Originations!$A:$A,$A16,Data_Originations!$B:$B,$B$1)</f>
        <v/>
      </c>
      <c r="F16" s="6">
        <f>SUMIFS(Data_Originations!$E:$E,Data_Originations!$A:$A,$A16,Data_Originations!$B:$B,$B$1)</f>
        <v/>
      </c>
      <c r="G16" s="6">
        <f>F16*0.2012</f>
        <v/>
      </c>
      <c r="H16" s="6">
        <f>SUMIFS(Data_Balances!$G:$G,Data_Balances!$A:$A,EOMONTH($A16,-1),Data_Balances!$B:$B,$B$1,Data_Balances!$E:$E,"&gt;=30")</f>
        <v/>
      </c>
      <c r="I16" s="7">
        <f>IFERROR(H16/SUMIFS(Data_Balances!$G:$G,Data_Balances!$A:$A,$A16,Data_Balances!$B:$B,$B$1),0)</f>
        <v/>
      </c>
      <c r="J16" s="6">
        <f>SUMIFS(Data_Balances!$G:$G,Data_Balances!$A:$A,$A16,Data_Balances!$B:$B,$B$1,Data_Balances!$E:$E,"&gt;=90")</f>
        <v/>
      </c>
      <c r="K16" s="7">
        <f>IFERROR(J16/SUMIFS(Data_Balances!$G:$G,Data_Balances!$A:$A,$A16,Data_Balances!$B:$B,$B$1),0)</f>
        <v/>
      </c>
      <c r="L16" s="6">
        <f>SUMIFS(Data_Applications!$D:$D,Data_Applications!$A:$A,$A16,Data_Applications!$B:$B,$B$1)</f>
        <v/>
      </c>
      <c r="M16" s="6">
        <f>SUMIFS(Data_Applications!$E:$E,Data_Applications!$A:$A,$A16,Data_Applications!$B:$B,$B$1)</f>
        <v/>
      </c>
      <c r="N16" s="7">
        <f>IFERROR(M16/L16,0)</f>
        <v/>
      </c>
      <c r="O16" s="6">
        <f>SUMIFS(Data_Balances!$F:$F,Data_Balances!$A:$A,$A16,Data_Balances!$B:$B,$B$1)</f>
        <v/>
      </c>
      <c r="P16" s="6">
        <f>IFERROR(D16/O16,0)</f>
        <v/>
      </c>
    </row>
    <row r="17">
      <c r="A17" s="5" t="n">
        <v>45930</v>
      </c>
      <c r="B17" s="6">
        <f>SUMIFS(Data_Balances!$G:$G,Data_Balances!$A:$A,$A17,Data_Balances!$B:$B,$B$1,Data_Balances!$H:$H,"Personal Loans")+SUMIFS(Data_Balances!$G:$G,Data_Balances!$A:$A,$A17,Data_Balances!$B:$B,$B$1,Data_Balances!$C:$C,"CC*")</f>
        <v/>
      </c>
      <c r="C17" s="8">
        <f>INDEX(Lookups!$F$3:$H$26,MATCH($A17,Lookups!$E$3:$E$26,0),MATCH($B$2,Lookups!$F$2:$H$2,0))</f>
        <v/>
      </c>
      <c r="D17" s="6">
        <f>B17*0.2012</f>
        <v/>
      </c>
      <c r="E17" s="6">
        <f>SUMIFS(Data_Originations!$D:$D,Data_Originations!$A:$A,$A17,Data_Originations!$B:$B,$B$1)</f>
        <v/>
      </c>
      <c r="F17" s="6">
        <f>SUMIFS(Data_Originations!$E:$E,Data_Originations!$A:$A,$A17,Data_Originations!$B:$B,$B$1)</f>
        <v/>
      </c>
      <c r="G17" s="6">
        <f>F17*0.2012</f>
        <v/>
      </c>
      <c r="H17" s="6">
        <f>SUMIFS(Data_Balances!$G:$G,Data_Balances!$A:$A,EOMONTH($A17,-1),Data_Balances!$B:$B,$B$1,Data_Balances!$E:$E,"&gt;=30")</f>
        <v/>
      </c>
      <c r="I17" s="7">
        <f>IFERROR(H17/SUMIFS(Data_Balances!$G:$G,Data_Balances!$A:$A,$A17,Data_Balances!$B:$B,$B$1),0)</f>
        <v/>
      </c>
      <c r="J17" s="6">
        <f>SUMIFS(Data_Balances!$G:$G,Data_Balances!$A:$A,$A17,Data_Balances!$B:$B,$B$1,Data_Balances!$E:$E,"&gt;=90")</f>
        <v/>
      </c>
      <c r="K17" s="7">
        <f>IFERROR(J17/SUMIFS(Data_Balances!$G:$G,Data_Balances!$A:$A,$A17,Data_Balances!$B:$B,$B$1),0)</f>
        <v/>
      </c>
      <c r="L17" s="6">
        <f>SUMIFS(Data_Applications!$D:$D,Data_Applications!$A:$A,$A17,Data_Applications!$B:$B,$B$1)</f>
        <v/>
      </c>
      <c r="M17" s="6">
        <f>SUMIFS(Data_Applications!$E:$E,Data_Applications!$A:$A,$A17,Data_Applications!$B:$B,$B$1)</f>
        <v/>
      </c>
      <c r="N17" s="7">
        <f>IFERROR(M17/L17,0)</f>
        <v/>
      </c>
      <c r="O17" s="6">
        <f>SUMIFS(Data_Balances!$F:$F,Data_Balances!$A:$A,$A17,Data_Balances!$B:$B,$B$1)</f>
        <v/>
      </c>
      <c r="P17" s="6">
        <f>IFERROR(D17/O17,0)</f>
        <v/>
      </c>
    </row>
    <row r="18">
      <c r="A18" s="5" t="n">
        <v>45961</v>
      </c>
      <c r="B18" s="6">
        <f>SUMIFS(Data_Balances!$G:$G,Data_Balances!$A:$A,$A18,Data_Balances!$B:$B,$B$1,Data_Balances!$H:$H,"Personal Loans")+SUMIFS(Data_Balances!$G:$G,Data_Balances!$A:$A,$A18,Data_Balances!$B:$B,$B$1,Data_Balances!$C:$C,"CC*")</f>
        <v/>
      </c>
      <c r="C18" s="8">
        <f>INDEX(Lookups!$F$3:$H$26,MATCH($A18,Lookups!$E$3:$E$26,0),MATCH($B$2,Lookups!$F$2:$H$2,0))</f>
        <v/>
      </c>
      <c r="D18" s="6">
        <f>B18*0.2012</f>
        <v/>
      </c>
      <c r="E18" s="6">
        <f>SUMIFS(Data_Originations!$D:$D,Data_Originations!$A:$A,$A18,Data_Originations!$B:$B,$B$1)</f>
        <v/>
      </c>
      <c r="F18" s="6">
        <f>SUMIFS(Data_Originations!$E:$E,Data_Originations!$A:$A,$A18,Data_Originations!$B:$B,$B$1)</f>
        <v/>
      </c>
      <c r="G18" s="6">
        <f>F18*0.2012</f>
        <v/>
      </c>
      <c r="H18" s="6">
        <f>SUMIFS(Data_Balances!$G:$G,Data_Balances!$A:$A,EOMONTH($A18,-1),Data_Balances!$B:$B,$B$1,Data_Balances!$E:$E,"&gt;=30")</f>
        <v/>
      </c>
      <c r="I18" s="7">
        <f>IFERROR(H18/SUMIFS(Data_Balances!$G:$G,Data_Balances!$A:$A,$A18,Data_Balances!$B:$B,$B$1),0)</f>
        <v/>
      </c>
      <c r="J18" s="6">
        <f>SUMIFS(Data_Balances!$G:$G,Data_Balances!$A:$A,$A18,Data_Balances!$B:$B,$B$1,Data_Balances!$E:$E,"&gt;=90")</f>
        <v/>
      </c>
      <c r="K18" s="7">
        <f>IFERROR(J18/SUMIFS(Data_Balances!$G:$G,Data_Balances!$A:$A,$A18,Data_Balances!$B:$B,$B$1),0)</f>
        <v/>
      </c>
      <c r="L18" s="6">
        <f>SUMIFS(Data_Applications!$D:$D,Data_Applications!$A:$A,$A18,Data_Applications!$B:$B,$B$1)</f>
        <v/>
      </c>
      <c r="M18" s="6">
        <f>SUMIFS(Data_Applications!$E:$E,Data_Applications!$A:$A,$A18,Data_Applications!$B:$B,$B$1)</f>
        <v/>
      </c>
      <c r="N18" s="7">
        <f>IFERROR(M18/L18,0)</f>
        <v/>
      </c>
      <c r="O18" s="6">
        <f>SUMIFS(Data_Balances!$F:$F,Data_Balances!$A:$A,$A18,Data_Balances!$B:$B,$B$1)</f>
        <v/>
      </c>
      <c r="P18" s="6">
        <f>IFERROR(D18/O18,0)</f>
        <v/>
      </c>
    </row>
    <row r="19">
      <c r="A19" s="5" t="n">
        <v>45991</v>
      </c>
      <c r="B19" s="6">
        <f>SUMIFS(Data_Balances!$G:$G,Data_Balances!$A:$A,$A19,Data_Balances!$B:$B,$B$1,Data_Balances!$H:$H,"Personal Loans")+SUMIFS(Data_Balances!$G:$G,Data_Balances!$A:$A,$A19,Data_Balances!$B:$B,$B$1,Data_Balances!$C:$C,"CC*")</f>
        <v/>
      </c>
      <c r="C19" s="8">
        <f>INDEX(Lookups!$F$3:$H$26,MATCH($A19,Lookups!$E$3:$E$26,0),MATCH($B$2,Lookups!$F$2:$H$2,0))</f>
        <v/>
      </c>
      <c r="D19" s="6">
        <f>B19*0.2012</f>
        <v/>
      </c>
      <c r="E19" s="6">
        <f>SUMIFS(Data_Originations!$D:$D,Data_Originations!$A:$A,$A19,Data_Originations!$B:$B,$B$1)</f>
        <v/>
      </c>
      <c r="F19" s="6">
        <f>SUMIFS(Data_Originations!$E:$E,Data_Originations!$A:$A,$A19,Data_Originations!$B:$B,$B$1)</f>
        <v/>
      </c>
      <c r="G19" s="6">
        <f>F19*0.2012</f>
        <v/>
      </c>
      <c r="H19" s="6">
        <f>SUMIFS(Data_Balances!$G:$G,Data_Balances!$A:$A,EOMONTH($A19,-1),Data_Balances!$B:$B,$B$1,Data_Balances!$E:$E,"&gt;=30")</f>
        <v/>
      </c>
      <c r="I19" s="7">
        <f>IFERROR(H19/SUMIFS(Data_Balances!$G:$G,Data_Balances!$A:$A,$A19,Data_Balances!$B:$B,$B$1),0)</f>
        <v/>
      </c>
      <c r="J19" s="6">
        <f>SUMIFS(Data_Balances!$G:$G,Data_Balances!$A:$A,$A19,Data_Balances!$B:$B,$B$1,Data_Balances!$E:$E,"&gt;=90")</f>
        <v/>
      </c>
      <c r="K19" s="7">
        <f>IFERROR(J19/SUMIFS(Data_Balances!$G:$G,Data_Balances!$A:$A,$A19,Data_Balances!$B:$B,$B$1),0)</f>
        <v/>
      </c>
      <c r="L19" s="6">
        <f>SUMIFS(Data_Applications!$D:$D,Data_Applications!$A:$A,$A19,Data_Applications!$B:$B,$B$1)</f>
        <v/>
      </c>
      <c r="M19" s="6">
        <f>SUMIFS(Data_Applications!$E:$E,Data_Applications!$A:$A,$A19,Data_Applications!$B:$B,$B$1)</f>
        <v/>
      </c>
      <c r="N19" s="7">
        <f>IFERROR(M19/L19,0)</f>
        <v/>
      </c>
      <c r="O19" s="6">
        <f>SUMIFS(Data_Balances!$F:$F,Data_Balances!$A:$A,$A19,Data_Balances!$B:$B,$B$1)</f>
        <v/>
      </c>
      <c r="P19" s="6">
        <f>IFERROR(D19/O19,0)</f>
        <v/>
      </c>
    </row>
    <row r="20">
      <c r="A20" s="5" t="n">
        <v>46022</v>
      </c>
      <c r="B20" s="6">
        <f>SUMIFS(Data_Balances!$G:$G,Data_Balances!$A:$A,$A20,Data_Balances!$B:$B,$B$1,Data_Balances!$H:$H,"Personal Loans")+SUMIFS(Data_Balances!$G:$G,Data_Balances!$A:$A,$A20,Data_Balances!$B:$B,$B$1,Data_Balances!$C:$C,"CC*")</f>
        <v/>
      </c>
      <c r="C20" s="8">
        <f>INDEX(Lookups!$F$3:$H$26,MATCH($A20,Lookups!$E$3:$E$26,0),MATCH($B$2,Lookups!$F$2:$H$2,0))</f>
        <v/>
      </c>
      <c r="D20" s="6">
        <f>B20*0.2012</f>
        <v/>
      </c>
      <c r="E20" s="6">
        <f>SUMIFS(Data_Originations!$D:$D,Data_Originations!$A:$A,$A20,Data_Originations!$B:$B,$B$1)</f>
        <v/>
      </c>
      <c r="F20" s="6">
        <f>SUMIFS(Data_Originations!$E:$E,Data_Originations!$A:$A,$A20,Data_Originations!$B:$B,$B$1)</f>
        <v/>
      </c>
      <c r="G20" s="6">
        <f>F20*0.2012</f>
        <v/>
      </c>
      <c r="H20" s="6">
        <f>SUMIFS(Data_Balances!$G:$G,Data_Balances!$A:$A,EOMONTH($A20,-1),Data_Balances!$B:$B,$B$1,Data_Balances!$E:$E,"&gt;=30")</f>
        <v/>
      </c>
      <c r="I20" s="7">
        <f>IFERROR(H20/SUMIFS(Data_Balances!$G:$G,Data_Balances!$A:$A,$A20,Data_Balances!$B:$B,$B$1),0)</f>
        <v/>
      </c>
      <c r="J20" s="6">
        <f>SUMIFS(Data_Balances!$G:$G,Data_Balances!$A:$A,$A20,Data_Balances!$B:$B,$B$1,Data_Balances!$E:$E,"&gt;=90")</f>
        <v/>
      </c>
      <c r="K20" s="7">
        <f>IFERROR(J20/SUMIFS(Data_Balances!$G:$G,Data_Balances!$A:$A,$A20,Data_Balances!$B:$B,$B$1),0)</f>
        <v/>
      </c>
      <c r="L20" s="6">
        <f>SUMIFS(Data_Applications!$D:$D,Data_Applications!$A:$A,$A20,Data_Applications!$B:$B,$B$1)</f>
        <v/>
      </c>
      <c r="M20" s="6">
        <f>SUMIFS(Data_Applications!$E:$E,Data_Applications!$A:$A,$A20,Data_Applications!$B:$B,$B$1)</f>
        <v/>
      </c>
      <c r="N20" s="7">
        <f>IFERROR(M20/L20,0)</f>
        <v/>
      </c>
      <c r="O20" s="6">
        <f>SUMIFS(Data_Balances!$F:$F,Data_Balances!$A:$A,$A20,Data_Balances!$B:$B,$B$1)</f>
        <v/>
      </c>
      <c r="P20" s="6">
        <f>IFERROR(D20/O20,0)</f>
        <v/>
      </c>
    </row>
    <row r="21">
      <c r="A21" s="5" t="n">
        <v>46053</v>
      </c>
      <c r="B21" s="6">
        <f>SUMIFS(Data_Balances!$G:$G,Data_Balances!$A:$A,$A21,Data_Balances!$B:$B,$B$1,Data_Balances!$H:$H,"Personal Loans")+SUMIFS(Data_Balances!$G:$G,Data_Balances!$A:$A,$A21,Data_Balances!$B:$B,$B$1,Data_Balances!$C:$C,"CC*")</f>
        <v/>
      </c>
      <c r="C21" s="8">
        <f>INDEX(Lookups!$F$3:$H$26,MATCH($A21,Lookups!$E$3:$E$26,0),MATCH($B$2,Lookups!$F$2:$H$2,0))</f>
        <v/>
      </c>
      <c r="D21" s="6">
        <f>B21*0.2012</f>
        <v/>
      </c>
      <c r="E21" s="6">
        <f>SUMIFS(Data_Originations!$D:$D,Data_Originations!$A:$A,$A21,Data_Originations!$B:$B,$B$1)</f>
        <v/>
      </c>
      <c r="F21" s="6">
        <f>SUMIFS(Data_Originations!$E:$E,Data_Originations!$A:$A,$A21,Data_Originations!$B:$B,$B$1)</f>
        <v/>
      </c>
      <c r="G21" s="6">
        <f>F21*0.2012</f>
        <v/>
      </c>
      <c r="H21" s="6">
        <f>SUMIFS(Data_Balances!$G:$G,Data_Balances!$A:$A,EOMONTH($A21,-1),Data_Balances!$B:$B,$B$1,Data_Balances!$E:$E,"&gt;=30")</f>
        <v/>
      </c>
      <c r="I21" s="7">
        <f>IFERROR(H21/SUMIFS(Data_Balances!$G:$G,Data_Balances!$A:$A,$A21,Data_Balances!$B:$B,$B$1),0)</f>
        <v/>
      </c>
      <c r="J21" s="6">
        <f>SUMIFS(Data_Balances!$G:$G,Data_Balances!$A:$A,$A21,Data_Balances!$B:$B,$B$1,Data_Balances!$E:$E,"&gt;=90")</f>
        <v/>
      </c>
      <c r="K21" s="7">
        <f>IFERROR(J21/SUMIFS(Data_Balances!$G:$G,Data_Balances!$A:$A,$A21,Data_Balances!$B:$B,$B$1),0)</f>
        <v/>
      </c>
      <c r="L21" s="6">
        <f>SUMIFS(Data_Applications!$D:$D,Data_Applications!$A:$A,$A21,Data_Applications!$B:$B,$B$1)</f>
        <v/>
      </c>
      <c r="M21" s="6">
        <f>SUMIFS(Data_Applications!$E:$E,Data_Applications!$A:$A,$A21,Data_Applications!$B:$B,$B$1)</f>
        <v/>
      </c>
      <c r="N21" s="7">
        <f>IFERROR(M21/L21,0)</f>
        <v/>
      </c>
      <c r="O21" s="6">
        <f>SUMIFS(Data_Balances!$F:$F,Data_Balances!$A:$A,$A21,Data_Balances!$B:$B,$B$1)</f>
        <v/>
      </c>
      <c r="P21" s="6">
        <f>IFERROR(D21/O21,0)</f>
        <v/>
      </c>
    </row>
    <row r="22">
      <c r="A22" s="5" t="n">
        <v>46081</v>
      </c>
      <c r="B22" s="6">
        <f>SUMIFS(Data_Balances!$G:$G,Data_Balances!$A:$A,$A22,Data_Balances!$B:$B,$B$1,Data_Balances!$H:$H,"Personal Loans")+SUMIFS(Data_Balances!$G:$G,Data_Balances!$A:$A,$A22,Data_Balances!$B:$B,$B$1,Data_Balances!$C:$C,"CC*")</f>
        <v/>
      </c>
      <c r="C22" s="8">
        <f>INDEX(Lookups!$F$3:$H$26,MATCH($A22,Lookups!$E$3:$E$26,0),MATCH($B$2,Lookups!$F$2:$H$2,0))</f>
        <v/>
      </c>
      <c r="D22" s="6">
        <f>B22*0.2012</f>
        <v/>
      </c>
      <c r="E22" s="6">
        <f>SUMIFS(Data_Originations!$D:$D,Data_Originations!$A:$A,$A22,Data_Originations!$B:$B,$B$1)</f>
        <v/>
      </c>
      <c r="F22" s="6">
        <f>SUMIFS(Data_Originations!$E:$E,Data_Originations!$A:$A,$A22,Data_Originations!$B:$B,$B$1)</f>
        <v/>
      </c>
      <c r="G22" s="6">
        <f>F22*0.2012</f>
        <v/>
      </c>
      <c r="H22" s="6">
        <f>SUMIFS(Data_Balances!$G:$G,Data_Balances!$A:$A,EOMONTH($A22,-1),Data_Balances!$B:$B,$B$1,Data_Balances!$E:$E,"&gt;=30")</f>
        <v/>
      </c>
      <c r="I22" s="7">
        <f>IFERROR(H22/SUMIFS(Data_Balances!$G:$G,Data_Balances!$A:$A,$A22,Data_Balances!$B:$B,$B$1),0)</f>
        <v/>
      </c>
      <c r="J22" s="6">
        <f>SUMIFS(Data_Balances!$G:$G,Data_Balances!$A:$A,$A22,Data_Balances!$B:$B,$B$1,Data_Balances!$E:$E,"&gt;=90")</f>
        <v/>
      </c>
      <c r="K22" s="7">
        <f>IFERROR(J22/SUMIFS(Data_Balances!$G:$G,Data_Balances!$A:$A,$A22,Data_Balances!$B:$B,$B$1),0)</f>
        <v/>
      </c>
      <c r="L22" s="6">
        <f>SUMIFS(Data_Applications!$D:$D,Data_Applications!$A:$A,$A22,Data_Applications!$B:$B,$B$1)</f>
        <v/>
      </c>
      <c r="M22" s="6">
        <f>SUMIFS(Data_Applications!$E:$E,Data_Applications!$A:$A,$A22,Data_Applications!$B:$B,$B$1)</f>
        <v/>
      </c>
      <c r="N22" s="7">
        <f>IFERROR(M22/L22,0)</f>
        <v/>
      </c>
      <c r="O22" s="6">
        <f>SUMIFS(Data_Balances!$F:$F,Data_Balances!$A:$A,$A22,Data_Balances!$B:$B,$B$1)</f>
        <v/>
      </c>
      <c r="P22" s="6">
        <f>IFERROR(D22/O22,0)</f>
        <v/>
      </c>
    </row>
    <row r="23">
      <c r="A23" s="5" t="n">
        <v>46112</v>
      </c>
      <c r="B23" s="6">
        <f>SUMIFS(Data_Balances!$G:$G,Data_Balances!$A:$A,$A23,Data_Balances!$B:$B,$B$1,Data_Balances!$H:$H,"Personal Loans")+SUMIFS(Data_Balances!$G:$G,Data_Balances!$A:$A,$A23,Data_Balances!$B:$B,$B$1,Data_Balances!$C:$C,"CC*")</f>
        <v/>
      </c>
      <c r="C23" s="8">
        <f>INDEX(Lookups!$F$3:$H$26,MATCH($A23,Lookups!$E$3:$E$26,0),MATCH($B$2,Lookups!$F$2:$H$2,0))</f>
        <v/>
      </c>
      <c r="D23" s="6">
        <f>B23*0.2012</f>
        <v/>
      </c>
      <c r="E23" s="6">
        <f>SUMIFS(Data_Originations!$D:$D,Data_Originations!$A:$A,$A23,Data_Originations!$B:$B,$B$1)</f>
        <v/>
      </c>
      <c r="F23" s="6">
        <f>SUMIFS(Data_Originations!$E:$E,Data_Originations!$A:$A,$A23,Data_Originations!$B:$B,$B$1)</f>
        <v/>
      </c>
      <c r="G23" s="6">
        <f>F23*0.2012</f>
        <v/>
      </c>
      <c r="H23" s="6">
        <f>SUMIFS(Data_Balances!$G:$G,Data_Balances!$A:$A,EOMONTH($A23,-1),Data_Balances!$B:$B,$B$1,Data_Balances!$E:$E,"&gt;=30")</f>
        <v/>
      </c>
      <c r="I23" s="7">
        <f>IFERROR(H23/SUMIFS(Data_Balances!$G:$G,Data_Balances!$A:$A,$A23,Data_Balances!$B:$B,$B$1),0)</f>
        <v/>
      </c>
      <c r="J23" s="6">
        <f>SUMIFS(Data_Balances!$G:$G,Data_Balances!$A:$A,$A23,Data_Balances!$B:$B,$B$1,Data_Balances!$E:$E,"&gt;=90")</f>
        <v/>
      </c>
      <c r="K23" s="7">
        <f>IFERROR(J23/SUMIFS(Data_Balances!$G:$G,Data_Balances!$A:$A,$A23,Data_Balances!$B:$B,$B$1),0)</f>
        <v/>
      </c>
      <c r="L23" s="6">
        <f>SUMIFS(Data_Applications!$D:$D,Data_Applications!$A:$A,$A23,Data_Applications!$B:$B,$B$1)</f>
        <v/>
      </c>
      <c r="M23" s="6">
        <f>SUMIFS(Data_Applications!$E:$E,Data_Applications!$A:$A,$A23,Data_Applications!$B:$B,$B$1)</f>
        <v/>
      </c>
      <c r="N23" s="7">
        <f>IFERROR(M23/L23,0)</f>
        <v/>
      </c>
      <c r="O23" s="6">
        <f>SUMIFS(Data_Balances!$F:$F,Data_Balances!$A:$A,$A23,Data_Balances!$B:$B,$B$1)</f>
        <v/>
      </c>
      <c r="P23" s="6">
        <f>IFERROR(D23/O23,0)</f>
        <v/>
      </c>
    </row>
    <row r="24">
      <c r="A24" s="5" t="n">
        <v>46142</v>
      </c>
      <c r="B24" s="6">
        <f>SUMIFS(Data_Balances!$G:$G,Data_Balances!$A:$A,$A24,Data_Balances!$B:$B,$B$1,Data_Balances!$H:$H,"Personal Loans")+SUMIFS(Data_Balances!$G:$G,Data_Balances!$A:$A,$A24,Data_Balances!$B:$B,$B$1,Data_Balances!$C:$C,"CC*")</f>
        <v/>
      </c>
      <c r="C24" s="8">
        <f>INDEX(Lookups!$F$3:$H$26,MATCH($A24,Lookups!$E$3:$E$26,0),MATCH($B$2,Lookups!$F$2:$H$2,0))</f>
        <v/>
      </c>
      <c r="D24" s="6">
        <f>B24*0.2012</f>
        <v/>
      </c>
      <c r="E24" s="6">
        <f>SUMIFS(Data_Originations!$D:$D,Data_Originations!$A:$A,$A24,Data_Originations!$B:$B,$B$1)</f>
        <v/>
      </c>
      <c r="F24" s="6">
        <f>SUMIFS(Data_Originations!$E:$E,Data_Originations!$A:$A,$A24,Data_Originations!$B:$B,$B$1)</f>
        <v/>
      </c>
      <c r="G24" s="6">
        <f>F24*0.2012</f>
        <v/>
      </c>
      <c r="H24" s="6">
        <f>SUMIFS(Data_Balances!$G:$G,Data_Balances!$A:$A,EOMONTH($A24,-1),Data_Balances!$B:$B,$B$1,Data_Balances!$E:$E,"&gt;=30")</f>
        <v/>
      </c>
      <c r="I24" s="7">
        <f>IFERROR(H24/SUMIFS(Data_Balances!$G:$G,Data_Balances!$A:$A,$A24,Data_Balances!$B:$B,$B$1),0)</f>
        <v/>
      </c>
      <c r="J24" s="6">
        <f>SUMIFS(Data_Balances!$G:$G,Data_Balances!$A:$A,$A24,Data_Balances!$B:$B,$B$1,Data_Balances!$E:$E,"&gt;=90")</f>
        <v/>
      </c>
      <c r="K24" s="7">
        <f>IFERROR(J24/SUMIFS(Data_Balances!$G:$G,Data_Balances!$A:$A,$A24,Data_Balances!$B:$B,$B$1),0)</f>
        <v/>
      </c>
      <c r="L24" s="6">
        <f>SUMIFS(Data_Applications!$D:$D,Data_Applications!$A:$A,$A24,Data_Applications!$B:$B,$B$1)</f>
        <v/>
      </c>
      <c r="M24" s="6">
        <f>SUMIFS(Data_Applications!$E:$E,Data_Applications!$A:$A,$A24,Data_Applications!$B:$B,$B$1)</f>
        <v/>
      </c>
      <c r="N24" s="7">
        <f>IFERROR(M24/L24,0)</f>
        <v/>
      </c>
      <c r="O24" s="6">
        <f>SUMIFS(Data_Balances!$F:$F,Data_Balances!$A:$A,$A24,Data_Balances!$B:$B,$B$1)</f>
        <v/>
      </c>
      <c r="P24" s="6">
        <f>IFERROR(D24/O24,0)</f>
        <v/>
      </c>
    </row>
    <row r="25">
      <c r="A25" s="5" t="n">
        <v>46173</v>
      </c>
      <c r="B25" s="6">
        <f>SUMIFS(Data_Balances!$G:$G,Data_Balances!$A:$A,$A25,Data_Balances!$B:$B,$B$1,Data_Balances!$H:$H,"Personal Loans")+SUMIFS(Data_Balances!$G:$G,Data_Balances!$A:$A,$A25,Data_Balances!$B:$B,$B$1,Data_Balances!$C:$C,"CC*")</f>
        <v/>
      </c>
      <c r="C25" s="8">
        <f>INDEX(Lookups!$F$3:$H$26,MATCH($A25,Lookups!$E$3:$E$26,0),MATCH($B$2,Lookups!$F$2:$H$2,0))</f>
        <v/>
      </c>
      <c r="D25" s="6">
        <f>B25*0.2012</f>
        <v/>
      </c>
      <c r="E25" s="6">
        <f>SUMIFS(Data_Originations!$D:$D,Data_Originations!$A:$A,$A25,Data_Originations!$B:$B,$B$1)</f>
        <v/>
      </c>
      <c r="F25" s="6">
        <f>SUMIFS(Data_Originations!$E:$E,Data_Originations!$A:$A,$A25,Data_Originations!$B:$B,$B$1)</f>
        <v/>
      </c>
      <c r="G25" s="6">
        <f>F25*0.2012</f>
        <v/>
      </c>
      <c r="H25" s="6">
        <f>SUMIFS(Data_Balances!$G:$G,Data_Balances!$A:$A,EOMONTH($A25,-1),Data_Balances!$B:$B,$B$1,Data_Balances!$E:$E,"&gt;=30")</f>
        <v/>
      </c>
      <c r="I25" s="7">
        <f>IFERROR(H25/SUMIFS(Data_Balances!$G:$G,Data_Balances!$A:$A,$A25,Data_Balances!$B:$B,$B$1),0)</f>
        <v/>
      </c>
      <c r="J25" s="6">
        <f>SUMIFS(Data_Balances!$G:$G,Data_Balances!$A:$A,$A25,Data_Balances!$B:$B,$B$1,Data_Balances!$E:$E,"&gt;=90")</f>
        <v/>
      </c>
      <c r="K25" s="7">
        <f>IFERROR(J25/SUMIFS(Data_Balances!$G:$G,Data_Balances!$A:$A,$A25,Data_Balances!$B:$B,$B$1),0)</f>
        <v/>
      </c>
      <c r="L25" s="6">
        <f>SUMIFS(Data_Applications!$D:$D,Data_Applications!$A:$A,$A25,Data_Applications!$B:$B,$B$1)</f>
        <v/>
      </c>
      <c r="M25" s="6">
        <f>SUMIFS(Data_Applications!$E:$E,Data_Applications!$A:$A,$A25,Data_Applications!$B:$B,$B$1)</f>
        <v/>
      </c>
      <c r="N25" s="7">
        <f>IFERROR(M25/L25,0)</f>
        <v/>
      </c>
      <c r="O25" s="6">
        <f>SUMIFS(Data_Balances!$F:$F,Data_Balances!$A:$A,$A25,Data_Balances!$B:$B,$B$1)</f>
        <v/>
      </c>
      <c r="P25" s="6">
        <f>IFERROR(D25/O25,0)</f>
        <v/>
      </c>
    </row>
    <row r="26">
      <c r="A26" s="5" t="n">
        <v>46203</v>
      </c>
      <c r="B26" s="6">
        <f>SUMIFS(Data_Balances!$G:$G,Data_Balances!$A:$A,$A26,Data_Balances!$B:$B,$B$1,Data_Balances!$H:$H,"Personal Loans")+SUMIFS(Data_Balances!$G:$G,Data_Balances!$A:$A,$A26,Data_Balances!$B:$B,$B$1,Data_Balances!$C:$C,"CC*")</f>
        <v/>
      </c>
      <c r="C26" s="8">
        <f>INDEX(Lookups!$F$3:$H$26,MATCH($A26,Lookups!$E$3:$E$26,0),MATCH($B$2,Lookups!$F$2:$H$2,0))</f>
        <v/>
      </c>
      <c r="D26" s="6">
        <f>B26*0.2012</f>
        <v/>
      </c>
      <c r="E26" s="6">
        <f>SUMIFS(Data_Originations!$D:$D,Data_Originations!$A:$A,$A26,Data_Originations!$B:$B,$B$1)</f>
        <v/>
      </c>
      <c r="F26" s="6">
        <f>SUMIFS(Data_Originations!$E:$E,Data_Originations!$A:$A,$A26,Data_Originations!$B:$B,$B$1)</f>
        <v/>
      </c>
      <c r="G26" s="6">
        <f>F26*0.2012</f>
        <v/>
      </c>
      <c r="H26" s="6">
        <f>SUMIFS(Data_Balances!$G:$G,Data_Balances!$A:$A,EOMONTH($A26,-1),Data_Balances!$B:$B,$B$1,Data_Balances!$E:$E,"&gt;=30")</f>
        <v/>
      </c>
      <c r="I26" s="7">
        <f>IFERROR(H26/SUMIFS(Data_Balances!$G:$G,Data_Balances!$A:$A,$A26,Data_Balances!$B:$B,$B$1),0)</f>
        <v/>
      </c>
      <c r="J26" s="6">
        <f>SUMIFS(Data_Balances!$G:$G,Data_Balances!$A:$A,$A26,Data_Balances!$B:$B,$B$1,Data_Balances!$E:$E,"&gt;=90")</f>
        <v/>
      </c>
      <c r="K26" s="7">
        <f>IFERROR(J26/SUMIFS(Data_Balances!$G:$G,Data_Balances!$A:$A,$A26,Data_Balances!$B:$B,$B$1),0)</f>
        <v/>
      </c>
      <c r="L26" s="6">
        <f>SUMIFS(Data_Applications!$D:$D,Data_Applications!$A:$A,$A26,Data_Applications!$B:$B,$B$1)</f>
        <v/>
      </c>
      <c r="M26" s="6">
        <f>SUMIFS(Data_Applications!$E:$E,Data_Applications!$A:$A,$A26,Data_Applications!$B:$B,$B$1)</f>
        <v/>
      </c>
      <c r="N26" s="7">
        <f>IFERROR(M26/L26,0)</f>
        <v/>
      </c>
      <c r="O26" s="6">
        <f>SUMIFS(Data_Balances!$F:$F,Data_Balances!$A:$A,$A26,Data_Balances!$B:$B,$B$1)</f>
        <v/>
      </c>
      <c r="P26" s="6">
        <f>IFERROR(D26/O26,0)</f>
        <v/>
      </c>
    </row>
    <row r="27">
      <c r="A27" s="5" t="n">
        <v>46234</v>
      </c>
      <c r="B27" s="6">
        <f>SUMIFS(Data_Balances!$G:$G,Data_Balances!$A:$A,$A27,Data_Balances!$B:$B,$B$1,Data_Balances!$H:$H,"Personal Loans")+SUMIFS(Data_Balances!$G:$G,Data_Balances!$A:$A,$A27,Data_Balances!$B:$B,$B$1,Data_Balances!$C:$C,"CC*")</f>
        <v/>
      </c>
      <c r="C27" s="8">
        <f>INDEX(Lookups!$F$3:$H$26,MATCH($A27,Lookups!$E$3:$E$26,0),MATCH($B$2,Lookups!$F$2:$H$2,0))</f>
        <v/>
      </c>
      <c r="D27" s="6">
        <f>B27*0.2012</f>
        <v/>
      </c>
      <c r="E27" s="6">
        <f>SUMIFS(Data_Originations!$D:$D,Data_Originations!$A:$A,$A27,Data_Originations!$B:$B,$B$1)</f>
        <v/>
      </c>
      <c r="F27" s="6">
        <f>SUMIFS(Data_Originations!$E:$E,Data_Originations!$A:$A,$A27,Data_Originations!$B:$B,$B$1)</f>
        <v/>
      </c>
      <c r="G27" s="6">
        <f>F27*0.2012</f>
        <v/>
      </c>
      <c r="H27" s="6">
        <f>SUMIFS(Data_Balances!$G:$G,Data_Balances!$A:$A,EOMONTH($A27,-1),Data_Balances!$B:$B,$B$1,Data_Balances!$E:$E,"&gt;=30")</f>
        <v/>
      </c>
      <c r="I27" s="7">
        <f>IFERROR(H27/SUMIFS(Data_Balances!$G:$G,Data_Balances!$A:$A,$A27,Data_Balances!$B:$B,$B$1),0)</f>
        <v/>
      </c>
      <c r="J27" s="6">
        <f>SUMIFS(Data_Balances!$G:$G,Data_Balances!$A:$A,$A27,Data_Balances!$B:$B,$B$1,Data_Balances!$E:$E,"&gt;=90")</f>
        <v/>
      </c>
      <c r="K27" s="7">
        <f>IFERROR(J27/SUMIFS(Data_Balances!$G:$G,Data_Balances!$A:$A,$A27,Data_Balances!$B:$B,$B$1),0)</f>
        <v/>
      </c>
      <c r="L27" s="6">
        <f>SUMIFS(Data_Applications!$D:$D,Data_Applications!$A:$A,$A27,Data_Applications!$B:$B,$B$1)</f>
        <v/>
      </c>
      <c r="M27" s="6">
        <f>SUMIFS(Data_Applications!$E:$E,Data_Applications!$A:$A,$A27,Data_Applications!$B:$B,$B$1)</f>
        <v/>
      </c>
      <c r="N27" s="7">
        <f>IFERROR(M27/L27,0)</f>
        <v/>
      </c>
      <c r="O27" s="6">
        <f>SUMIFS(Data_Balances!$F:$F,Data_Balances!$A:$A,$A27,Data_Balances!$B:$B,$B$1)</f>
        <v/>
      </c>
      <c r="P27" s="6">
        <f>IFERROR(D27/O27,0)</f>
        <v/>
      </c>
    </row>
    <row r="28">
      <c r="A28" s="5" t="n">
        <v>46265</v>
      </c>
      <c r="B28" s="6">
        <f>SUMIFS(Data_Balances!$G:$G,Data_Balances!$A:$A,$A28,Data_Balances!$B:$B,$B$1,Data_Balances!$H:$H,"Personal Loans")+SUMIFS(Data_Balances!$G:$G,Data_Balances!$A:$A,$A28,Data_Balances!$B:$B,$B$1,Data_Balances!$C:$C,"CC*")</f>
        <v/>
      </c>
      <c r="C28" s="8">
        <f>INDEX(Lookups!$F$3:$H$26,MATCH($A28,Lookups!$E$3:$E$26,0),MATCH($B$2,Lookups!$F$2:$H$2,0))</f>
        <v/>
      </c>
      <c r="D28" s="6">
        <f>B28*0.2012</f>
        <v/>
      </c>
      <c r="E28" s="6">
        <f>SUMIFS(Data_Originations!$D:$D,Data_Originations!$A:$A,$A28,Data_Originations!$B:$B,$B$1)</f>
        <v/>
      </c>
      <c r="F28" s="6">
        <f>SUMIFS(Data_Originations!$E:$E,Data_Originations!$A:$A,$A28,Data_Originations!$B:$B,$B$1)</f>
        <v/>
      </c>
      <c r="G28" s="6">
        <f>F28*0.2012</f>
        <v/>
      </c>
      <c r="H28" s="6">
        <f>SUMIFS(Data_Balances!$G:$G,Data_Balances!$A:$A,EOMONTH($A28,-1),Data_Balances!$B:$B,$B$1,Data_Balances!$E:$E,"&gt;=30")</f>
        <v/>
      </c>
      <c r="I28" s="7">
        <f>IFERROR(H28/SUMIFS(Data_Balances!$G:$G,Data_Balances!$A:$A,$A28,Data_Balances!$B:$B,$B$1),0)</f>
        <v/>
      </c>
      <c r="J28" s="6">
        <f>SUMIFS(Data_Balances!$G:$G,Data_Balances!$A:$A,$A28,Data_Balances!$B:$B,$B$1,Data_Balances!$E:$E,"&gt;=90")</f>
        <v/>
      </c>
      <c r="K28" s="7">
        <f>IFERROR(J28/SUMIFS(Data_Balances!$G:$G,Data_Balances!$A:$A,$A28,Data_Balances!$B:$B,$B$1),0)</f>
        <v/>
      </c>
      <c r="L28" s="6">
        <f>SUMIFS(Data_Applications!$D:$D,Data_Applications!$A:$A,$A28,Data_Applications!$B:$B,$B$1)</f>
        <v/>
      </c>
      <c r="M28" s="6">
        <f>SUMIFS(Data_Applications!$E:$E,Data_Applications!$A:$A,$A28,Data_Applications!$B:$B,$B$1)</f>
        <v/>
      </c>
      <c r="N28" s="7">
        <f>IFERROR(M28/L28,0)</f>
        <v/>
      </c>
      <c r="O28" s="6">
        <f>SUMIFS(Data_Balances!$F:$F,Data_Balances!$A:$A,$A28,Data_Balances!$B:$B,$B$1)</f>
        <v/>
      </c>
      <c r="P28" s="6">
        <f>IFERROR(D28/O28,0)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snapshot_date</t>
        </is>
      </c>
      <c r="B1" s="4" t="inlineStr">
        <is>
          <t>country_code</t>
        </is>
      </c>
      <c r="C1" s="4" t="inlineStr">
        <is>
          <t>product_code</t>
        </is>
      </c>
      <c r="D1" s="4" t="inlineStr">
        <is>
          <t>dpd_bucket</t>
        </is>
      </c>
      <c r="E1" s="4" t="inlineStr">
        <is>
          <t>dpd_min</t>
        </is>
      </c>
      <c r="F1" s="4" t="inlineStr">
        <is>
          <t>accounts</t>
        </is>
      </c>
      <c r="G1" s="4" t="inlineStr">
        <is>
          <t>balance_local</t>
        </is>
      </c>
      <c r="H1" s="9" t="inlineStr">
        <is>
          <t>Product line</t>
        </is>
      </c>
    </row>
    <row r="2">
      <c r="A2" s="5" t="n">
        <v>45565</v>
      </c>
      <c r="B2" t="inlineStr">
        <is>
          <t>CZ</t>
        </is>
      </c>
      <c r="C2" t="inlineStr">
        <is>
          <t>CC_CLASSIC</t>
        </is>
      </c>
      <c r="D2" t="inlineStr">
        <is>
          <t>Current</t>
        </is>
      </c>
      <c r="E2" t="n">
        <v>0</v>
      </c>
      <c r="F2" t="n">
        <v>758</v>
      </c>
      <c r="G2" t="n">
        <v>11415391.45</v>
      </c>
      <c r="H2">
        <f>IFERROR(VLOOKUP(C2,Lookups!$A$3:$C$7,3,FALSE),"UNMAPPED")</f>
        <v/>
      </c>
    </row>
    <row r="3">
      <c r="A3" s="5" t="n">
        <v>45565</v>
      </c>
      <c r="B3" t="inlineStr">
        <is>
          <t>CZ</t>
        </is>
      </c>
      <c r="C3" t="inlineStr">
        <is>
          <t>CC_CLASSIC</t>
        </is>
      </c>
      <c r="D3" t="inlineStr">
        <is>
          <t>1-29</t>
        </is>
      </c>
      <c r="E3" t="n">
        <v>1</v>
      </c>
      <c r="F3" t="n">
        <v>9</v>
      </c>
      <c r="G3" t="n">
        <v>139848.17</v>
      </c>
      <c r="H3">
        <f>IFERROR(VLOOKUP(C3,Lookups!$A$3:$C$7,3,FALSE),"UNMAPPED")</f>
        <v/>
      </c>
    </row>
    <row r="4">
      <c r="A4" s="5" t="n">
        <v>45565</v>
      </c>
      <c r="B4" t="inlineStr">
        <is>
          <t>CZ</t>
        </is>
      </c>
      <c r="C4" t="inlineStr">
        <is>
          <t>CC_CLASSIC</t>
        </is>
      </c>
      <c r="D4" t="inlineStr">
        <is>
          <t>30-59</t>
        </is>
      </c>
      <c r="E4" t="n">
        <v>30</v>
      </c>
      <c r="F4" t="n">
        <v>5</v>
      </c>
      <c r="G4" t="n">
        <v>71288.99000000001</v>
      </c>
      <c r="H4">
        <f>IFERROR(VLOOKUP(C4,Lookups!$A$3:$C$7,3,FALSE),"UNMAPPED")</f>
        <v/>
      </c>
    </row>
    <row r="5">
      <c r="A5" s="5" t="n">
        <v>45565</v>
      </c>
      <c r="B5" t="inlineStr">
        <is>
          <t>CZ</t>
        </is>
      </c>
      <c r="C5" t="inlineStr">
        <is>
          <t>CC_CLASSIC</t>
        </is>
      </c>
      <c r="D5" t="inlineStr">
        <is>
          <t>60-89</t>
        </is>
      </c>
      <c r="E5" t="n">
        <v>60</v>
      </c>
      <c r="F5" t="n">
        <v>6</v>
      </c>
      <c r="G5" t="n">
        <v>112568.94</v>
      </c>
      <c r="H5">
        <f>IFERROR(VLOOKUP(C5,Lookups!$A$3:$C$7,3,FALSE),"UNMAPPED")</f>
        <v/>
      </c>
    </row>
    <row r="6">
      <c r="A6" s="5" t="n">
        <v>45565</v>
      </c>
      <c r="B6" t="inlineStr">
        <is>
          <t>CZ</t>
        </is>
      </c>
      <c r="C6" t="inlineStr">
        <is>
          <t>CC_CLASSIC</t>
        </is>
      </c>
      <c r="D6" t="inlineStr">
        <is>
          <t>90-179</t>
        </is>
      </c>
      <c r="E6" t="n">
        <v>90</v>
      </c>
      <c r="F6" t="n">
        <v>10</v>
      </c>
      <c r="G6" t="n">
        <v>210834.46</v>
      </c>
      <c r="H6">
        <f>IFERROR(VLOOKUP(C6,Lookups!$A$3:$C$7,3,FALSE),"UNMAPPED")</f>
        <v/>
      </c>
    </row>
    <row r="7">
      <c r="A7" s="5" t="n">
        <v>45565</v>
      </c>
      <c r="B7" t="inlineStr">
        <is>
          <t>CZ</t>
        </is>
      </c>
      <c r="C7" t="inlineStr">
        <is>
          <t>CC_GOLD</t>
        </is>
      </c>
      <c r="D7" t="inlineStr">
        <is>
          <t>Current</t>
        </is>
      </c>
      <c r="E7" t="n">
        <v>0</v>
      </c>
      <c r="F7" t="n">
        <v>225</v>
      </c>
      <c r="G7" t="n">
        <v>12679561.05</v>
      </c>
      <c r="H7">
        <f>IFERROR(VLOOKUP(C7,Lookups!$A$3:$C$7,3,FALSE),"UNMAPPED")</f>
        <v/>
      </c>
    </row>
    <row r="8">
      <c r="A8" s="5" t="n">
        <v>45565</v>
      </c>
      <c r="B8" t="inlineStr">
        <is>
          <t>CZ</t>
        </is>
      </c>
      <c r="C8" t="inlineStr">
        <is>
          <t>CC_GOLD</t>
        </is>
      </c>
      <c r="D8" t="inlineStr">
        <is>
          <t>1-29</t>
        </is>
      </c>
      <c r="E8" t="n">
        <v>1</v>
      </c>
      <c r="F8" t="n">
        <v>3</v>
      </c>
      <c r="G8" t="n">
        <v>246683.69</v>
      </c>
      <c r="H8">
        <f>IFERROR(VLOOKUP(C8,Lookups!$A$3:$C$7,3,FALSE),"UNMAPPED")</f>
        <v/>
      </c>
    </row>
    <row r="9">
      <c r="A9" s="5" t="n">
        <v>45565</v>
      </c>
      <c r="B9" t="inlineStr">
        <is>
          <t>CZ</t>
        </is>
      </c>
      <c r="C9" t="inlineStr">
        <is>
          <t>CC_GOLD</t>
        </is>
      </c>
      <c r="D9" t="inlineStr">
        <is>
          <t>90-179</t>
        </is>
      </c>
      <c r="E9" t="n">
        <v>90</v>
      </c>
      <c r="F9" t="n">
        <v>2</v>
      </c>
      <c r="G9" t="n">
        <v>139867.14</v>
      </c>
      <c r="H9">
        <f>IFERROR(VLOOKUP(C9,Lookups!$A$3:$C$7,3,FALSE),"UNMAPPED")</f>
        <v/>
      </c>
    </row>
    <row r="10">
      <c r="A10" s="5" t="n">
        <v>45565</v>
      </c>
      <c r="B10" t="inlineStr">
        <is>
          <t>CZ</t>
        </is>
      </c>
      <c r="C10" t="inlineStr">
        <is>
          <t>PL_PREM</t>
        </is>
      </c>
      <c r="D10" t="inlineStr">
        <is>
          <t>Current</t>
        </is>
      </c>
      <c r="E10" t="n">
        <v>0</v>
      </c>
      <c r="F10" t="n">
        <v>226</v>
      </c>
      <c r="G10" t="n">
        <v>58281367.51</v>
      </c>
      <c r="H10">
        <f>IFERROR(VLOOKUP(C10,Lookups!$A$3:$C$7,3,FALSE),"UNMAPPED")</f>
        <v/>
      </c>
    </row>
    <row r="11">
      <c r="A11" s="5" t="n">
        <v>45565</v>
      </c>
      <c r="B11" t="inlineStr">
        <is>
          <t>CZ</t>
        </is>
      </c>
      <c r="C11" t="inlineStr">
        <is>
          <t>PL_PREM</t>
        </is>
      </c>
      <c r="D11" t="inlineStr">
        <is>
          <t>1-29</t>
        </is>
      </c>
      <c r="E11" t="n">
        <v>1</v>
      </c>
      <c r="F11" t="n">
        <v>6</v>
      </c>
      <c r="G11" t="n">
        <v>1157118.34</v>
      </c>
      <c r="H11">
        <f>IFERROR(VLOOKUP(C11,Lookups!$A$3:$C$7,3,FALSE),"UNMAPPED")</f>
        <v/>
      </c>
    </row>
    <row r="12">
      <c r="A12" s="5" t="n">
        <v>45565</v>
      </c>
      <c r="B12" t="inlineStr">
        <is>
          <t>CZ</t>
        </is>
      </c>
      <c r="C12" t="inlineStr">
        <is>
          <t>PL_PREM</t>
        </is>
      </c>
      <c r="D12" t="inlineStr">
        <is>
          <t>30-59</t>
        </is>
      </c>
      <c r="E12" t="n">
        <v>30</v>
      </c>
      <c r="F12" t="n">
        <v>3</v>
      </c>
      <c r="G12" t="n">
        <v>988371.35</v>
      </c>
      <c r="H12">
        <f>IFERROR(VLOOKUP(C12,Lookups!$A$3:$C$7,3,FALSE),"UNMAPPED")</f>
        <v/>
      </c>
    </row>
    <row r="13">
      <c r="A13" s="5" t="n">
        <v>45565</v>
      </c>
      <c r="B13" t="inlineStr">
        <is>
          <t>CZ</t>
        </is>
      </c>
      <c r="C13" t="inlineStr">
        <is>
          <t>PL_PREM</t>
        </is>
      </c>
      <c r="D13" t="inlineStr">
        <is>
          <t>60-89</t>
        </is>
      </c>
      <c r="E13" t="n">
        <v>60</v>
      </c>
      <c r="F13" t="n">
        <v>2</v>
      </c>
      <c r="G13" t="n">
        <v>510375.15</v>
      </c>
      <c r="H13">
        <f>IFERROR(VLOOKUP(C13,Lookups!$A$3:$C$7,3,FALSE),"UNMAPPED")</f>
        <v/>
      </c>
    </row>
    <row r="14">
      <c r="A14" s="5" t="n">
        <v>45565</v>
      </c>
      <c r="B14" t="inlineStr">
        <is>
          <t>CZ</t>
        </is>
      </c>
      <c r="C14" t="inlineStr">
        <is>
          <t>PL_PREM</t>
        </is>
      </c>
      <c r="D14" t="inlineStr">
        <is>
          <t>90-179</t>
        </is>
      </c>
      <c r="E14" t="n">
        <v>90</v>
      </c>
      <c r="F14" t="n">
        <v>5</v>
      </c>
      <c r="G14" t="n">
        <v>2000596.57</v>
      </c>
      <c r="H14">
        <f>IFERROR(VLOOKUP(C14,Lookups!$A$3:$C$7,3,FALSE),"UNMAPPED")</f>
        <v/>
      </c>
    </row>
    <row r="15">
      <c r="A15" s="5" t="n">
        <v>45565</v>
      </c>
      <c r="B15" t="inlineStr">
        <is>
          <t>CZ</t>
        </is>
      </c>
      <c r="C15" t="inlineStr">
        <is>
          <t>PL_STD</t>
        </is>
      </c>
      <c r="D15" t="inlineStr">
        <is>
          <t>Current</t>
        </is>
      </c>
      <c r="E15" t="n">
        <v>0</v>
      </c>
      <c r="F15" t="n">
        <v>623</v>
      </c>
      <c r="G15" t="n">
        <v>48027750.93</v>
      </c>
      <c r="H15">
        <f>IFERROR(VLOOKUP(C15,Lookups!$A$3:$C$7,3,FALSE),"UNMAPPED")</f>
        <v/>
      </c>
    </row>
    <row r="16">
      <c r="A16" s="5" t="n">
        <v>45565</v>
      </c>
      <c r="B16" t="inlineStr">
        <is>
          <t>CZ</t>
        </is>
      </c>
      <c r="C16" t="inlineStr">
        <is>
          <t>PL_STD</t>
        </is>
      </c>
      <c r="D16" t="inlineStr">
        <is>
          <t>1-29</t>
        </is>
      </c>
      <c r="E16" t="n">
        <v>1</v>
      </c>
      <c r="F16" t="n">
        <v>12</v>
      </c>
      <c r="G16" t="n">
        <v>909425.88</v>
      </c>
      <c r="H16">
        <f>IFERROR(VLOOKUP(C16,Lookups!$A$3:$C$7,3,FALSE),"UNMAPPED")</f>
        <v/>
      </c>
    </row>
    <row r="17">
      <c r="A17" s="5" t="n">
        <v>45565</v>
      </c>
      <c r="B17" t="inlineStr">
        <is>
          <t>CZ</t>
        </is>
      </c>
      <c r="C17" t="inlineStr">
        <is>
          <t>PL_STD</t>
        </is>
      </c>
      <c r="D17" t="inlineStr">
        <is>
          <t>30-59</t>
        </is>
      </c>
      <c r="E17" t="n">
        <v>30</v>
      </c>
      <c r="F17" t="n">
        <v>4</v>
      </c>
      <c r="G17" t="n">
        <v>298272.55</v>
      </c>
      <c r="H17">
        <f>IFERROR(VLOOKUP(C17,Lookups!$A$3:$C$7,3,FALSE),"UNMAPPED")</f>
        <v/>
      </c>
    </row>
    <row r="18">
      <c r="A18" s="5" t="n">
        <v>45565</v>
      </c>
      <c r="B18" t="inlineStr">
        <is>
          <t>CZ</t>
        </is>
      </c>
      <c r="C18" t="inlineStr">
        <is>
          <t>PL_STD</t>
        </is>
      </c>
      <c r="D18" t="inlineStr">
        <is>
          <t>60-89</t>
        </is>
      </c>
      <c r="E18" t="n">
        <v>60</v>
      </c>
      <c r="F18" t="n">
        <v>3</v>
      </c>
      <c r="G18" t="n">
        <v>237073.44</v>
      </c>
      <c r="H18">
        <f>IFERROR(VLOOKUP(C18,Lookups!$A$3:$C$7,3,FALSE),"UNMAPPED")</f>
        <v/>
      </c>
    </row>
    <row r="19">
      <c r="A19" s="5" t="n">
        <v>45565</v>
      </c>
      <c r="B19" t="inlineStr">
        <is>
          <t>CZ</t>
        </is>
      </c>
      <c r="C19" t="inlineStr">
        <is>
          <t>PL_STD</t>
        </is>
      </c>
      <c r="D19" t="inlineStr">
        <is>
          <t>90-179</t>
        </is>
      </c>
      <c r="E19" t="n">
        <v>90</v>
      </c>
      <c r="F19" t="n">
        <v>4</v>
      </c>
      <c r="G19" t="n">
        <v>290834.64</v>
      </c>
      <c r="H19">
        <f>IFERROR(VLOOKUP(C19,Lookups!$A$3:$C$7,3,FALSE),"UNMAPPED")</f>
        <v/>
      </c>
    </row>
    <row r="20">
      <c r="A20" s="5" t="n">
        <v>45565</v>
      </c>
      <c r="B20" t="inlineStr">
        <is>
          <t>PL</t>
        </is>
      </c>
      <c r="C20" t="inlineStr">
        <is>
          <t>CC_CLASSIC</t>
        </is>
      </c>
      <c r="D20" t="inlineStr">
        <is>
          <t>Current</t>
        </is>
      </c>
      <c r="E20" t="n">
        <v>0</v>
      </c>
      <c r="F20" t="n">
        <v>1040</v>
      </c>
      <c r="G20" t="n">
        <v>2755575.97</v>
      </c>
      <c r="H20">
        <f>IFERROR(VLOOKUP(C20,Lookups!$A$3:$C$7,3,FALSE),"UNMAPPED")</f>
        <v/>
      </c>
    </row>
    <row r="21">
      <c r="A21" s="5" t="n">
        <v>45565</v>
      </c>
      <c r="B21" t="inlineStr">
        <is>
          <t>PL</t>
        </is>
      </c>
      <c r="C21" t="inlineStr">
        <is>
          <t>CC_CLASSIC</t>
        </is>
      </c>
      <c r="D21" t="inlineStr">
        <is>
          <t>1-29</t>
        </is>
      </c>
      <c r="E21" t="n">
        <v>1</v>
      </c>
      <c r="F21" t="n">
        <v>12</v>
      </c>
      <c r="G21" t="n">
        <v>42611.3</v>
      </c>
      <c r="H21">
        <f>IFERROR(VLOOKUP(C21,Lookups!$A$3:$C$7,3,FALSE),"UNMAPPED")</f>
        <v/>
      </c>
    </row>
    <row r="22">
      <c r="A22" s="5" t="n">
        <v>45565</v>
      </c>
      <c r="B22" t="inlineStr">
        <is>
          <t>PL</t>
        </is>
      </c>
      <c r="C22" t="inlineStr">
        <is>
          <t>CC_CLASSIC</t>
        </is>
      </c>
      <c r="D22" t="inlineStr">
        <is>
          <t>30-59</t>
        </is>
      </c>
      <c r="E22" t="n">
        <v>30</v>
      </c>
      <c r="F22" t="n">
        <v>7</v>
      </c>
      <c r="G22" t="n">
        <v>25772.05</v>
      </c>
      <c r="H22">
        <f>IFERROR(VLOOKUP(C22,Lookups!$A$3:$C$7,3,FALSE),"UNMAPPED")</f>
        <v/>
      </c>
    </row>
    <row r="23">
      <c r="A23" s="5" t="n">
        <v>45565</v>
      </c>
      <c r="B23" t="inlineStr">
        <is>
          <t>PL</t>
        </is>
      </c>
      <c r="C23" t="inlineStr">
        <is>
          <t>CC_CLASSIC</t>
        </is>
      </c>
      <c r="D23" t="inlineStr">
        <is>
          <t>60-89</t>
        </is>
      </c>
      <c r="E23" t="n">
        <v>60</v>
      </c>
      <c r="F23" t="n">
        <v>5</v>
      </c>
      <c r="G23" t="n">
        <v>15613.2</v>
      </c>
      <c r="H23">
        <f>IFERROR(VLOOKUP(C23,Lookups!$A$3:$C$7,3,FALSE),"UNMAPPED")</f>
        <v/>
      </c>
    </row>
    <row r="24">
      <c r="A24" s="5" t="n">
        <v>45565</v>
      </c>
      <c r="B24" t="inlineStr">
        <is>
          <t>PL</t>
        </is>
      </c>
      <c r="C24" t="inlineStr">
        <is>
          <t>CC_CLASSIC</t>
        </is>
      </c>
      <c r="D24" t="inlineStr">
        <is>
          <t>90-179</t>
        </is>
      </c>
      <c r="E24" t="n">
        <v>90</v>
      </c>
      <c r="F24" t="n">
        <v>14</v>
      </c>
      <c r="G24" t="n">
        <v>27773.28</v>
      </c>
      <c r="H24">
        <f>IFERROR(VLOOKUP(C24,Lookups!$A$3:$C$7,3,FALSE),"UNMAPPED")</f>
        <v/>
      </c>
    </row>
    <row r="25">
      <c r="A25" s="5" t="n">
        <v>45565</v>
      </c>
      <c r="B25" t="inlineStr">
        <is>
          <t>PL</t>
        </is>
      </c>
      <c r="C25" t="inlineStr">
        <is>
          <t>CC_GOLD</t>
        </is>
      </c>
      <c r="D25" t="inlineStr">
        <is>
          <t>Current</t>
        </is>
      </c>
      <c r="E25" t="n">
        <v>0</v>
      </c>
      <c r="F25" t="n">
        <v>302</v>
      </c>
      <c r="G25" t="n">
        <v>2879678.54</v>
      </c>
      <c r="H25">
        <f>IFERROR(VLOOKUP(C25,Lookups!$A$3:$C$7,3,FALSE),"UNMAPPED")</f>
        <v/>
      </c>
    </row>
    <row r="26">
      <c r="A26" s="5" t="n">
        <v>45565</v>
      </c>
      <c r="B26" t="inlineStr">
        <is>
          <t>PL</t>
        </is>
      </c>
      <c r="C26" t="inlineStr">
        <is>
          <t>CC_GOLD</t>
        </is>
      </c>
      <c r="D26" t="inlineStr">
        <is>
          <t>1-29</t>
        </is>
      </c>
      <c r="E26" t="n">
        <v>1</v>
      </c>
      <c r="F26" t="n">
        <v>7</v>
      </c>
      <c r="G26" t="n">
        <v>76923.99000000001</v>
      </c>
      <c r="H26">
        <f>IFERROR(VLOOKUP(C26,Lookups!$A$3:$C$7,3,FALSE),"UNMAPPED")</f>
        <v/>
      </c>
    </row>
    <row r="27">
      <c r="A27" s="5" t="n">
        <v>45565</v>
      </c>
      <c r="B27" t="inlineStr">
        <is>
          <t>PL</t>
        </is>
      </c>
      <c r="C27" t="inlineStr">
        <is>
          <t>CC_GOLD</t>
        </is>
      </c>
      <c r="D27" t="inlineStr">
        <is>
          <t>30-59</t>
        </is>
      </c>
      <c r="E27" t="n">
        <v>30</v>
      </c>
      <c r="F27" t="n">
        <v>2</v>
      </c>
      <c r="G27" t="n">
        <v>42917.41</v>
      </c>
      <c r="H27">
        <f>IFERROR(VLOOKUP(C27,Lookups!$A$3:$C$7,3,FALSE),"UNMAPPED")</f>
        <v/>
      </c>
    </row>
    <row r="28">
      <c r="A28" s="5" t="n">
        <v>45565</v>
      </c>
      <c r="B28" t="inlineStr">
        <is>
          <t>PL</t>
        </is>
      </c>
      <c r="C28" t="inlineStr">
        <is>
          <t>CC_GOLD</t>
        </is>
      </c>
      <c r="D28" t="inlineStr">
        <is>
          <t>60-89</t>
        </is>
      </c>
      <c r="E28" t="n">
        <v>60</v>
      </c>
      <c r="F28" t="n">
        <v>1</v>
      </c>
      <c r="G28" t="n">
        <v>7306.37</v>
      </c>
      <c r="H28">
        <f>IFERROR(VLOOKUP(C28,Lookups!$A$3:$C$7,3,FALSE),"UNMAPPED")</f>
        <v/>
      </c>
    </row>
    <row r="29">
      <c r="A29" s="5" t="n">
        <v>45565</v>
      </c>
      <c r="B29" t="inlineStr">
        <is>
          <t>PL</t>
        </is>
      </c>
      <c r="C29" t="inlineStr">
        <is>
          <t>CC_GOLD</t>
        </is>
      </c>
      <c r="D29" t="inlineStr">
        <is>
          <t>90-179</t>
        </is>
      </c>
      <c r="E29" t="n">
        <v>90</v>
      </c>
      <c r="F29" t="n">
        <v>4</v>
      </c>
      <c r="G29" t="n">
        <v>56662.67</v>
      </c>
      <c r="H29">
        <f>IFERROR(VLOOKUP(C29,Lookups!$A$3:$C$7,3,FALSE),"UNMAPPED")</f>
        <v/>
      </c>
    </row>
    <row r="30">
      <c r="A30" s="5" t="n">
        <v>45565</v>
      </c>
      <c r="B30" t="inlineStr">
        <is>
          <t>PL</t>
        </is>
      </c>
      <c r="C30" t="inlineStr">
        <is>
          <t>PL_PREM</t>
        </is>
      </c>
      <c r="D30" t="inlineStr">
        <is>
          <t>Current</t>
        </is>
      </c>
      <c r="E30" t="n">
        <v>0</v>
      </c>
      <c r="F30" t="n">
        <v>311</v>
      </c>
      <c r="G30" t="n">
        <v>14251966.3</v>
      </c>
      <c r="H30">
        <f>IFERROR(VLOOKUP(C30,Lookups!$A$3:$C$7,3,FALSE),"UNMAPPED")</f>
        <v/>
      </c>
    </row>
    <row r="31">
      <c r="A31" s="5" t="n">
        <v>45565</v>
      </c>
      <c r="B31" t="inlineStr">
        <is>
          <t>PL</t>
        </is>
      </c>
      <c r="C31" t="inlineStr">
        <is>
          <t>PL_PREM</t>
        </is>
      </c>
      <c r="D31" t="inlineStr">
        <is>
          <t>1-29</t>
        </is>
      </c>
      <c r="E31" t="n">
        <v>1</v>
      </c>
      <c r="F31" t="n">
        <v>5</v>
      </c>
      <c r="G31" t="n">
        <v>288111.94</v>
      </c>
      <c r="H31">
        <f>IFERROR(VLOOKUP(C31,Lookups!$A$3:$C$7,3,FALSE),"UNMAPPED")</f>
        <v/>
      </c>
    </row>
    <row r="32">
      <c r="A32" s="5" t="n">
        <v>45565</v>
      </c>
      <c r="B32" t="inlineStr">
        <is>
          <t>PL</t>
        </is>
      </c>
      <c r="C32" t="inlineStr">
        <is>
          <t>PL_PREM</t>
        </is>
      </c>
      <c r="D32" t="inlineStr">
        <is>
          <t>30-59</t>
        </is>
      </c>
      <c r="E32" t="n">
        <v>30</v>
      </c>
      <c r="F32" t="n">
        <v>3</v>
      </c>
      <c r="G32" t="n">
        <v>163928.06</v>
      </c>
      <c r="H32">
        <f>IFERROR(VLOOKUP(C32,Lookups!$A$3:$C$7,3,FALSE),"UNMAPPED")</f>
        <v/>
      </c>
    </row>
    <row r="33">
      <c r="A33" s="5" t="n">
        <v>45565</v>
      </c>
      <c r="B33" t="inlineStr">
        <is>
          <t>PL</t>
        </is>
      </c>
      <c r="C33" t="inlineStr">
        <is>
          <t>PL_PREM</t>
        </is>
      </c>
      <c r="D33" t="inlineStr">
        <is>
          <t>60-89</t>
        </is>
      </c>
      <c r="E33" t="n">
        <v>60</v>
      </c>
      <c r="F33" t="n">
        <v>1</v>
      </c>
      <c r="G33" t="n">
        <v>37272.58</v>
      </c>
      <c r="H33">
        <f>IFERROR(VLOOKUP(C33,Lookups!$A$3:$C$7,3,FALSE),"UNMAPPED")</f>
        <v/>
      </c>
    </row>
    <row r="34">
      <c r="A34" s="5" t="n">
        <v>45565</v>
      </c>
      <c r="B34" t="inlineStr">
        <is>
          <t>PL</t>
        </is>
      </c>
      <c r="C34" t="inlineStr">
        <is>
          <t>PL_PREM</t>
        </is>
      </c>
      <c r="D34" t="inlineStr">
        <is>
          <t>90-179</t>
        </is>
      </c>
      <c r="E34" t="n">
        <v>90</v>
      </c>
      <c r="F34" t="n">
        <v>2</v>
      </c>
      <c r="G34" t="n">
        <v>111209</v>
      </c>
      <c r="H34">
        <f>IFERROR(VLOOKUP(C34,Lookups!$A$3:$C$7,3,FALSE),"UNMAPPED")</f>
        <v/>
      </c>
    </row>
    <row r="35">
      <c r="A35" s="5" t="n">
        <v>45565</v>
      </c>
      <c r="B35" t="inlineStr">
        <is>
          <t>PL</t>
        </is>
      </c>
      <c r="C35" t="inlineStr">
        <is>
          <t>PL_STD</t>
        </is>
      </c>
      <c r="D35" t="inlineStr">
        <is>
          <t>Current</t>
        </is>
      </c>
      <c r="E35" t="n">
        <v>0</v>
      </c>
      <c r="F35" t="n">
        <v>867</v>
      </c>
      <c r="G35" t="n">
        <v>11942395.62</v>
      </c>
      <c r="H35">
        <f>IFERROR(VLOOKUP(C35,Lookups!$A$3:$C$7,3,FALSE),"UNMAPPED")</f>
        <v/>
      </c>
    </row>
    <row r="36">
      <c r="A36" s="5" t="n">
        <v>45565</v>
      </c>
      <c r="B36" t="inlineStr">
        <is>
          <t>PL</t>
        </is>
      </c>
      <c r="C36" t="inlineStr">
        <is>
          <t>PL_STD</t>
        </is>
      </c>
      <c r="D36" t="inlineStr">
        <is>
          <t>1-29</t>
        </is>
      </c>
      <c r="E36" t="n">
        <v>1</v>
      </c>
      <c r="F36" t="n">
        <v>13</v>
      </c>
      <c r="G36" t="n">
        <v>138566.93</v>
      </c>
      <c r="H36">
        <f>IFERROR(VLOOKUP(C36,Lookups!$A$3:$C$7,3,FALSE),"UNMAPPED")</f>
        <v/>
      </c>
    </row>
    <row r="37">
      <c r="A37" s="5" t="n">
        <v>45565</v>
      </c>
      <c r="B37" t="inlineStr">
        <is>
          <t>PL</t>
        </is>
      </c>
      <c r="C37" t="inlineStr">
        <is>
          <t>PL_STD</t>
        </is>
      </c>
      <c r="D37" t="inlineStr">
        <is>
          <t>30-59</t>
        </is>
      </c>
      <c r="E37" t="n">
        <v>30</v>
      </c>
      <c r="F37" t="n">
        <v>4</v>
      </c>
      <c r="G37" t="n">
        <v>80354.44</v>
      </c>
      <c r="H37">
        <f>IFERROR(VLOOKUP(C37,Lookups!$A$3:$C$7,3,FALSE),"UNMAPPED")</f>
        <v/>
      </c>
    </row>
    <row r="38">
      <c r="A38" s="5" t="n">
        <v>45565</v>
      </c>
      <c r="B38" t="inlineStr">
        <is>
          <t>PL</t>
        </is>
      </c>
      <c r="C38" t="inlineStr">
        <is>
          <t>PL_STD</t>
        </is>
      </c>
      <c r="D38" t="inlineStr">
        <is>
          <t>60-89</t>
        </is>
      </c>
      <c r="E38" t="n">
        <v>60</v>
      </c>
      <c r="F38" t="n">
        <v>5</v>
      </c>
      <c r="G38" t="n">
        <v>100871.12</v>
      </c>
      <c r="H38">
        <f>IFERROR(VLOOKUP(C38,Lookups!$A$3:$C$7,3,FALSE),"UNMAPPED")</f>
        <v/>
      </c>
    </row>
    <row r="39">
      <c r="A39" s="5" t="n">
        <v>45565</v>
      </c>
      <c r="B39" t="inlineStr">
        <is>
          <t>PL</t>
        </is>
      </c>
      <c r="C39" t="inlineStr">
        <is>
          <t>PL_STD</t>
        </is>
      </c>
      <c r="D39" t="inlineStr">
        <is>
          <t>90-179</t>
        </is>
      </c>
      <c r="E39" t="n">
        <v>90</v>
      </c>
      <c r="F39" t="n">
        <v>16</v>
      </c>
      <c r="G39" t="n">
        <v>220701.33</v>
      </c>
      <c r="H39">
        <f>IFERROR(VLOOKUP(C39,Lookups!$A$3:$C$7,3,FALSE),"UNMAPPED")</f>
        <v/>
      </c>
    </row>
    <row r="40">
      <c r="A40" s="5" t="n">
        <v>45565</v>
      </c>
      <c r="B40" t="inlineStr">
        <is>
          <t>RO</t>
        </is>
      </c>
      <c r="C40" t="inlineStr">
        <is>
          <t>CC_CLASSIC</t>
        </is>
      </c>
      <c r="D40" t="inlineStr">
        <is>
          <t>Current</t>
        </is>
      </c>
      <c r="E40" t="n">
        <v>0</v>
      </c>
      <c r="F40" t="n">
        <v>552</v>
      </c>
      <c r="G40" t="n">
        <v>1621668.6</v>
      </c>
      <c r="H40">
        <f>IFERROR(VLOOKUP(C40,Lookups!$A$3:$C$7,3,FALSE),"UNMAPPED")</f>
        <v/>
      </c>
    </row>
    <row r="41">
      <c r="A41" s="5" t="n">
        <v>45565</v>
      </c>
      <c r="B41" t="inlineStr">
        <is>
          <t>RO</t>
        </is>
      </c>
      <c r="C41" t="inlineStr">
        <is>
          <t>CC_CLASSIC</t>
        </is>
      </c>
      <c r="D41" t="inlineStr">
        <is>
          <t>1-29</t>
        </is>
      </c>
      <c r="E41" t="n">
        <v>1</v>
      </c>
      <c r="F41" t="n">
        <v>6</v>
      </c>
      <c r="G41" t="n">
        <v>25743.14</v>
      </c>
      <c r="H41">
        <f>IFERROR(VLOOKUP(C41,Lookups!$A$3:$C$7,3,FALSE),"UNMAPPED")</f>
        <v/>
      </c>
    </row>
    <row r="42">
      <c r="A42" s="5" t="n">
        <v>45565</v>
      </c>
      <c r="B42" t="inlineStr">
        <is>
          <t>RO</t>
        </is>
      </c>
      <c r="C42" t="inlineStr">
        <is>
          <t>CC_CLASSIC</t>
        </is>
      </c>
      <c r="D42" t="inlineStr">
        <is>
          <t>30-59</t>
        </is>
      </c>
      <c r="E42" t="n">
        <v>30</v>
      </c>
      <c r="F42" t="n">
        <v>5</v>
      </c>
      <c r="G42" t="n">
        <v>24131.3</v>
      </c>
      <c r="H42">
        <f>IFERROR(VLOOKUP(C42,Lookups!$A$3:$C$7,3,FALSE),"UNMAPPED")</f>
        <v/>
      </c>
    </row>
    <row r="43">
      <c r="A43" s="5" t="n">
        <v>45565</v>
      </c>
      <c r="B43" t="inlineStr">
        <is>
          <t>RO</t>
        </is>
      </c>
      <c r="C43" t="inlineStr">
        <is>
          <t>CC_CLASSIC</t>
        </is>
      </c>
      <c r="D43" t="inlineStr">
        <is>
          <t>60-89</t>
        </is>
      </c>
      <c r="E43" t="n">
        <v>60</v>
      </c>
      <c r="F43" t="n">
        <v>1</v>
      </c>
      <c r="G43" t="n">
        <v>1713.27</v>
      </c>
      <c r="H43">
        <f>IFERROR(VLOOKUP(C43,Lookups!$A$3:$C$7,3,FALSE),"UNMAPPED")</f>
        <v/>
      </c>
    </row>
    <row r="44">
      <c r="A44" s="5" t="n">
        <v>45565</v>
      </c>
      <c r="B44" t="inlineStr">
        <is>
          <t>RO</t>
        </is>
      </c>
      <c r="C44" t="inlineStr">
        <is>
          <t>CC_CLASSIC</t>
        </is>
      </c>
      <c r="D44" t="inlineStr">
        <is>
          <t>90-179</t>
        </is>
      </c>
      <c r="E44" t="n">
        <v>90</v>
      </c>
      <c r="F44" t="n">
        <v>7</v>
      </c>
      <c r="G44" t="n">
        <v>35150.9</v>
      </c>
      <c r="H44">
        <f>IFERROR(VLOOKUP(C44,Lookups!$A$3:$C$7,3,FALSE),"UNMAPPED")</f>
        <v/>
      </c>
    </row>
    <row r="45">
      <c r="A45" s="5" t="n">
        <v>45565</v>
      </c>
      <c r="B45" t="inlineStr">
        <is>
          <t>RO</t>
        </is>
      </c>
      <c r="C45" t="inlineStr">
        <is>
          <t>CC_GOLD</t>
        </is>
      </c>
      <c r="D45" t="inlineStr">
        <is>
          <t>Current</t>
        </is>
      </c>
      <c r="E45" t="n">
        <v>0</v>
      </c>
      <c r="F45" t="n">
        <v>151</v>
      </c>
      <c r="G45" t="n">
        <v>1689104.31</v>
      </c>
      <c r="H45">
        <f>IFERROR(VLOOKUP(C45,Lookups!$A$3:$C$7,3,FALSE),"UNMAPPED")</f>
        <v/>
      </c>
    </row>
    <row r="46">
      <c r="A46" s="5" t="n">
        <v>45565</v>
      </c>
      <c r="B46" t="inlineStr">
        <is>
          <t>RO</t>
        </is>
      </c>
      <c r="C46" t="inlineStr">
        <is>
          <t>CC_GOLD</t>
        </is>
      </c>
      <c r="D46" t="inlineStr">
        <is>
          <t>1-29</t>
        </is>
      </c>
      <c r="E46" t="n">
        <v>1</v>
      </c>
      <c r="F46" t="n">
        <v>1</v>
      </c>
      <c r="G46" t="n">
        <v>8190.48</v>
      </c>
      <c r="H46">
        <f>IFERROR(VLOOKUP(C46,Lookups!$A$3:$C$7,3,FALSE),"UNMAPPED")</f>
        <v/>
      </c>
    </row>
    <row r="47">
      <c r="A47" s="5" t="n">
        <v>45565</v>
      </c>
      <c r="B47" t="inlineStr">
        <is>
          <t>RO</t>
        </is>
      </c>
      <c r="C47" t="inlineStr">
        <is>
          <t>CC_GOLD</t>
        </is>
      </c>
      <c r="D47" t="inlineStr">
        <is>
          <t>90-179</t>
        </is>
      </c>
      <c r="E47" t="n">
        <v>90</v>
      </c>
      <c r="F47" t="n">
        <v>2</v>
      </c>
      <c r="G47" t="n">
        <v>16460.85</v>
      </c>
      <c r="H47">
        <f>IFERROR(VLOOKUP(C47,Lookups!$A$3:$C$7,3,FALSE),"UNMAPPED")</f>
        <v/>
      </c>
    </row>
    <row r="48">
      <c r="A48" s="5" t="n">
        <v>45565</v>
      </c>
      <c r="B48" t="inlineStr">
        <is>
          <t>RO</t>
        </is>
      </c>
      <c r="C48" t="inlineStr">
        <is>
          <t>PL_PREM</t>
        </is>
      </c>
      <c r="D48" t="inlineStr">
        <is>
          <t>Current</t>
        </is>
      </c>
      <c r="E48" t="n">
        <v>0</v>
      </c>
      <c r="F48" t="n">
        <v>221</v>
      </c>
      <c r="G48" t="n">
        <v>11702961.81</v>
      </c>
      <c r="H48">
        <f>IFERROR(VLOOKUP(C48,Lookups!$A$3:$C$7,3,FALSE),"UNMAPPED")</f>
        <v/>
      </c>
    </row>
    <row r="49">
      <c r="A49" s="5" t="n">
        <v>45565</v>
      </c>
      <c r="B49" t="inlineStr">
        <is>
          <t>RO</t>
        </is>
      </c>
      <c r="C49" t="inlineStr">
        <is>
          <t>PL_PREM</t>
        </is>
      </c>
      <c r="D49" t="inlineStr">
        <is>
          <t>1-29</t>
        </is>
      </c>
      <c r="E49" t="n">
        <v>1</v>
      </c>
      <c r="F49" t="n">
        <v>5</v>
      </c>
      <c r="G49" t="n">
        <v>381606.15</v>
      </c>
      <c r="H49">
        <f>IFERROR(VLOOKUP(C49,Lookups!$A$3:$C$7,3,FALSE),"UNMAPPED")</f>
        <v/>
      </c>
    </row>
    <row r="50">
      <c r="A50" s="5" t="n">
        <v>45565</v>
      </c>
      <c r="B50" t="inlineStr">
        <is>
          <t>RO</t>
        </is>
      </c>
      <c r="C50" t="inlineStr">
        <is>
          <t>PL_PREM</t>
        </is>
      </c>
      <c r="D50" t="inlineStr">
        <is>
          <t>30-59</t>
        </is>
      </c>
      <c r="E50" t="n">
        <v>30</v>
      </c>
      <c r="F50" t="n">
        <v>4</v>
      </c>
      <c r="G50" t="n">
        <v>245226.89</v>
      </c>
      <c r="H50">
        <f>IFERROR(VLOOKUP(C50,Lookups!$A$3:$C$7,3,FALSE),"UNMAPPED")</f>
        <v/>
      </c>
    </row>
    <row r="51">
      <c r="A51" s="5" t="n">
        <v>45565</v>
      </c>
      <c r="B51" t="inlineStr">
        <is>
          <t>RO</t>
        </is>
      </c>
      <c r="C51" t="inlineStr">
        <is>
          <t>PL_PREM</t>
        </is>
      </c>
      <c r="D51" t="inlineStr">
        <is>
          <t>60-89</t>
        </is>
      </c>
      <c r="E51" t="n">
        <v>60</v>
      </c>
      <c r="F51" t="n">
        <v>1</v>
      </c>
      <c r="G51" t="n">
        <v>95705.28</v>
      </c>
      <c r="H51">
        <f>IFERROR(VLOOKUP(C51,Lookups!$A$3:$C$7,3,FALSE),"UNMAPPED")</f>
        <v/>
      </c>
    </row>
    <row r="52">
      <c r="A52" s="5" t="n">
        <v>45565</v>
      </c>
      <c r="B52" t="inlineStr">
        <is>
          <t>RO</t>
        </is>
      </c>
      <c r="C52" t="inlineStr">
        <is>
          <t>PL_PREM</t>
        </is>
      </c>
      <c r="D52" t="inlineStr">
        <is>
          <t>90-179</t>
        </is>
      </c>
      <c r="E52" t="n">
        <v>90</v>
      </c>
      <c r="F52" t="n">
        <v>1</v>
      </c>
      <c r="G52" t="n">
        <v>85078.58</v>
      </c>
      <c r="H52">
        <f>IFERROR(VLOOKUP(C52,Lookups!$A$3:$C$7,3,FALSE),"UNMAPPED")</f>
        <v/>
      </c>
    </row>
    <row r="53">
      <c r="A53" s="5" t="n">
        <v>45565</v>
      </c>
      <c r="B53" t="inlineStr">
        <is>
          <t>RO</t>
        </is>
      </c>
      <c r="C53" t="inlineStr">
        <is>
          <t>PL_STD</t>
        </is>
      </c>
      <c r="D53" t="inlineStr">
        <is>
          <t>Current</t>
        </is>
      </c>
      <c r="E53" t="n">
        <v>0</v>
      </c>
      <c r="F53" t="n">
        <v>531</v>
      </c>
      <c r="G53" t="n">
        <v>8799025.359999999</v>
      </c>
      <c r="H53">
        <f>IFERROR(VLOOKUP(C53,Lookups!$A$3:$C$7,3,FALSE),"UNMAPPED")</f>
        <v/>
      </c>
    </row>
    <row r="54">
      <c r="A54" s="5" t="n">
        <v>45565</v>
      </c>
      <c r="B54" t="inlineStr">
        <is>
          <t>RO</t>
        </is>
      </c>
      <c r="C54" t="inlineStr">
        <is>
          <t>PL_STD</t>
        </is>
      </c>
      <c r="D54" t="inlineStr">
        <is>
          <t>1-29</t>
        </is>
      </c>
      <c r="E54" t="n">
        <v>1</v>
      </c>
      <c r="F54" t="n">
        <v>11</v>
      </c>
      <c r="G54" t="n">
        <v>149898.85</v>
      </c>
      <c r="H54">
        <f>IFERROR(VLOOKUP(C54,Lookups!$A$3:$C$7,3,FALSE),"UNMAPPED")</f>
        <v/>
      </c>
    </row>
    <row r="55">
      <c r="A55" s="5" t="n">
        <v>45565</v>
      </c>
      <c r="B55" t="inlineStr">
        <is>
          <t>RO</t>
        </is>
      </c>
      <c r="C55" t="inlineStr">
        <is>
          <t>PL_STD</t>
        </is>
      </c>
      <c r="D55" t="inlineStr">
        <is>
          <t>30-59</t>
        </is>
      </c>
      <c r="E55" t="n">
        <v>30</v>
      </c>
      <c r="F55" t="n">
        <v>6</v>
      </c>
      <c r="G55" t="n">
        <v>118954.27</v>
      </c>
      <c r="H55">
        <f>IFERROR(VLOOKUP(C55,Lookups!$A$3:$C$7,3,FALSE),"UNMAPPED")</f>
        <v/>
      </c>
    </row>
    <row r="56">
      <c r="A56" s="5" t="n">
        <v>45565</v>
      </c>
      <c r="B56" t="inlineStr">
        <is>
          <t>RO</t>
        </is>
      </c>
      <c r="C56" t="inlineStr">
        <is>
          <t>PL_STD</t>
        </is>
      </c>
      <c r="D56" t="inlineStr">
        <is>
          <t>60-89</t>
        </is>
      </c>
      <c r="E56" t="n">
        <v>60</v>
      </c>
      <c r="F56" t="n">
        <v>4</v>
      </c>
      <c r="G56" t="n">
        <v>55990.09</v>
      </c>
      <c r="H56">
        <f>IFERROR(VLOOKUP(C56,Lookups!$A$3:$C$7,3,FALSE),"UNMAPPED")</f>
        <v/>
      </c>
    </row>
    <row r="57">
      <c r="A57" s="5" t="n">
        <v>45565</v>
      </c>
      <c r="B57" t="inlineStr">
        <is>
          <t>RO</t>
        </is>
      </c>
      <c r="C57" t="inlineStr">
        <is>
          <t>PL_STD</t>
        </is>
      </c>
      <c r="D57" t="inlineStr">
        <is>
          <t>90-179</t>
        </is>
      </c>
      <c r="E57" t="n">
        <v>90</v>
      </c>
      <c r="F57" t="n">
        <v>6</v>
      </c>
      <c r="G57" t="n">
        <v>92452.25</v>
      </c>
      <c r="H57">
        <f>IFERROR(VLOOKUP(C57,Lookups!$A$3:$C$7,3,FALSE),"UNMAPPED")</f>
        <v/>
      </c>
    </row>
    <row r="58">
      <c r="A58" s="5" t="n">
        <v>45596</v>
      </c>
      <c r="B58" t="inlineStr">
        <is>
          <t>CZ</t>
        </is>
      </c>
      <c r="C58" t="inlineStr">
        <is>
          <t>CC_CLASSIC</t>
        </is>
      </c>
      <c r="D58" t="inlineStr">
        <is>
          <t>Current</t>
        </is>
      </c>
      <c r="E58" t="n">
        <v>0</v>
      </c>
      <c r="F58" t="n">
        <v>813</v>
      </c>
      <c r="G58" t="n">
        <v>12416029.47</v>
      </c>
      <c r="H58">
        <f>IFERROR(VLOOKUP(C58,Lookups!$A$3:$C$7,3,FALSE),"UNMAPPED")</f>
        <v/>
      </c>
    </row>
    <row r="59">
      <c r="A59" s="5" t="n">
        <v>45596</v>
      </c>
      <c r="B59" t="inlineStr">
        <is>
          <t>CZ</t>
        </is>
      </c>
      <c r="C59" t="inlineStr">
        <is>
          <t>CC_CLASSIC</t>
        </is>
      </c>
      <c r="D59" t="inlineStr">
        <is>
          <t>1-29</t>
        </is>
      </c>
      <c r="E59" t="n">
        <v>1</v>
      </c>
      <c r="F59" t="n">
        <v>5</v>
      </c>
      <c r="G59" t="n">
        <v>85833.84</v>
      </c>
      <c r="H59">
        <f>IFERROR(VLOOKUP(C59,Lookups!$A$3:$C$7,3,FALSE),"UNMAPPED")</f>
        <v/>
      </c>
    </row>
    <row r="60">
      <c r="A60" s="5" t="n">
        <v>45596</v>
      </c>
      <c r="B60" t="inlineStr">
        <is>
          <t>CZ</t>
        </is>
      </c>
      <c r="C60" t="inlineStr">
        <is>
          <t>CC_CLASSIC</t>
        </is>
      </c>
      <c r="D60" t="inlineStr">
        <is>
          <t>30-59</t>
        </is>
      </c>
      <c r="E60" t="n">
        <v>30</v>
      </c>
      <c r="F60" t="n">
        <v>6</v>
      </c>
      <c r="G60" t="n">
        <v>63731.49</v>
      </c>
      <c r="H60">
        <f>IFERROR(VLOOKUP(C60,Lookups!$A$3:$C$7,3,FALSE),"UNMAPPED")</f>
        <v/>
      </c>
    </row>
    <row r="61">
      <c r="A61" s="5" t="n">
        <v>45596</v>
      </c>
      <c r="B61" t="inlineStr">
        <is>
          <t>CZ</t>
        </is>
      </c>
      <c r="C61" t="inlineStr">
        <is>
          <t>CC_CLASSIC</t>
        </is>
      </c>
      <c r="D61" t="inlineStr">
        <is>
          <t>60-89</t>
        </is>
      </c>
      <c r="E61" t="n">
        <v>60</v>
      </c>
      <c r="F61" t="n">
        <v>5</v>
      </c>
      <c r="G61" t="n">
        <v>72649.42999999999</v>
      </c>
      <c r="H61">
        <f>IFERROR(VLOOKUP(C61,Lookups!$A$3:$C$7,3,FALSE),"UNMAPPED")</f>
        <v/>
      </c>
    </row>
    <row r="62">
      <c r="A62" s="5" t="n">
        <v>45596</v>
      </c>
      <c r="B62" t="inlineStr">
        <is>
          <t>CZ</t>
        </is>
      </c>
      <c r="C62" t="inlineStr">
        <is>
          <t>CC_CLASSIC</t>
        </is>
      </c>
      <c r="D62" t="inlineStr">
        <is>
          <t>90-179</t>
        </is>
      </c>
      <c r="E62" t="n">
        <v>90</v>
      </c>
      <c r="F62" t="n">
        <v>12</v>
      </c>
      <c r="G62" t="n">
        <v>214282.42</v>
      </c>
      <c r="H62">
        <f>IFERROR(VLOOKUP(C62,Lookups!$A$3:$C$7,3,FALSE),"UNMAPPED")</f>
        <v/>
      </c>
    </row>
    <row r="63">
      <c r="A63" s="5" t="n">
        <v>45596</v>
      </c>
      <c r="B63" t="inlineStr">
        <is>
          <t>CZ</t>
        </is>
      </c>
      <c r="C63" t="inlineStr">
        <is>
          <t>CC_GOLD</t>
        </is>
      </c>
      <c r="D63" t="inlineStr">
        <is>
          <t>Current</t>
        </is>
      </c>
      <c r="E63" t="n">
        <v>0</v>
      </c>
      <c r="F63" t="n">
        <v>240</v>
      </c>
      <c r="G63" t="n">
        <v>12668034.7</v>
      </c>
      <c r="H63">
        <f>IFERROR(VLOOKUP(C63,Lookups!$A$3:$C$7,3,FALSE),"UNMAPPED")</f>
        <v/>
      </c>
    </row>
    <row r="64">
      <c r="A64" s="5" t="n">
        <v>45596</v>
      </c>
      <c r="B64" t="inlineStr">
        <is>
          <t>CZ</t>
        </is>
      </c>
      <c r="C64" t="inlineStr">
        <is>
          <t>CC_GOLD</t>
        </is>
      </c>
      <c r="D64" t="inlineStr">
        <is>
          <t>1-29</t>
        </is>
      </c>
      <c r="E64" t="n">
        <v>1</v>
      </c>
      <c r="F64" t="n">
        <v>2</v>
      </c>
      <c r="G64" t="n">
        <v>187915.92</v>
      </c>
      <c r="H64">
        <f>IFERROR(VLOOKUP(C64,Lookups!$A$3:$C$7,3,FALSE),"UNMAPPED")</f>
        <v/>
      </c>
    </row>
    <row r="65">
      <c r="A65" s="5" t="n">
        <v>45596</v>
      </c>
      <c r="B65" t="inlineStr">
        <is>
          <t>CZ</t>
        </is>
      </c>
      <c r="C65" t="inlineStr">
        <is>
          <t>CC_GOLD</t>
        </is>
      </c>
      <c r="D65" t="inlineStr">
        <is>
          <t>30-59</t>
        </is>
      </c>
      <c r="E65" t="n">
        <v>30</v>
      </c>
      <c r="F65" t="n">
        <v>2</v>
      </c>
      <c r="G65" t="n">
        <v>197026.75</v>
      </c>
      <c r="H65">
        <f>IFERROR(VLOOKUP(C65,Lookups!$A$3:$C$7,3,FALSE),"UNMAPPED")</f>
        <v/>
      </c>
    </row>
    <row r="66">
      <c r="A66" s="5" t="n">
        <v>45596</v>
      </c>
      <c r="B66" t="inlineStr">
        <is>
          <t>CZ</t>
        </is>
      </c>
      <c r="C66" t="inlineStr">
        <is>
          <t>CC_GOLD</t>
        </is>
      </c>
      <c r="D66" t="inlineStr">
        <is>
          <t>90-179</t>
        </is>
      </c>
      <c r="E66" t="n">
        <v>90</v>
      </c>
      <c r="F66" t="n">
        <v>2</v>
      </c>
      <c r="G66" t="n">
        <v>142186.61</v>
      </c>
      <c r="H66">
        <f>IFERROR(VLOOKUP(C66,Lookups!$A$3:$C$7,3,FALSE),"UNMAPPED")</f>
        <v/>
      </c>
    </row>
    <row r="67">
      <c r="A67" s="5" t="n">
        <v>45596</v>
      </c>
      <c r="B67" t="inlineStr">
        <is>
          <t>CZ</t>
        </is>
      </c>
      <c r="C67" t="inlineStr">
        <is>
          <t>PL_PREM</t>
        </is>
      </c>
      <c r="D67" t="inlineStr">
        <is>
          <t>Current</t>
        </is>
      </c>
      <c r="E67" t="n">
        <v>0</v>
      </c>
      <c r="F67" t="n">
        <v>240</v>
      </c>
      <c r="G67" t="n">
        <v>61381151.56</v>
      </c>
      <c r="H67">
        <f>IFERROR(VLOOKUP(C67,Lookups!$A$3:$C$7,3,FALSE),"UNMAPPED")</f>
        <v/>
      </c>
    </row>
    <row r="68">
      <c r="A68" s="5" t="n">
        <v>45596</v>
      </c>
      <c r="B68" t="inlineStr">
        <is>
          <t>CZ</t>
        </is>
      </c>
      <c r="C68" t="inlineStr">
        <is>
          <t>PL_PREM</t>
        </is>
      </c>
      <c r="D68" t="inlineStr">
        <is>
          <t>1-29</t>
        </is>
      </c>
      <c r="E68" t="n">
        <v>1</v>
      </c>
      <c r="F68" t="n">
        <v>2</v>
      </c>
      <c r="G68" t="n">
        <v>574588.91</v>
      </c>
      <c r="H68">
        <f>IFERROR(VLOOKUP(C68,Lookups!$A$3:$C$7,3,FALSE),"UNMAPPED")</f>
        <v/>
      </c>
    </row>
    <row r="69">
      <c r="A69" s="5" t="n">
        <v>45596</v>
      </c>
      <c r="B69" t="inlineStr">
        <is>
          <t>CZ</t>
        </is>
      </c>
      <c r="C69" t="inlineStr">
        <is>
          <t>PL_PREM</t>
        </is>
      </c>
      <c r="D69" t="inlineStr">
        <is>
          <t>30-59</t>
        </is>
      </c>
      <c r="E69" t="n">
        <v>30</v>
      </c>
      <c r="F69" t="n">
        <v>3</v>
      </c>
      <c r="G69" t="n">
        <v>690296.6899999999</v>
      </c>
      <c r="H69">
        <f>IFERROR(VLOOKUP(C69,Lookups!$A$3:$C$7,3,FALSE),"UNMAPPED")</f>
        <v/>
      </c>
    </row>
    <row r="70">
      <c r="A70" s="5" t="n">
        <v>45596</v>
      </c>
      <c r="B70" t="inlineStr">
        <is>
          <t>CZ</t>
        </is>
      </c>
      <c r="C70" t="inlineStr">
        <is>
          <t>PL_PREM</t>
        </is>
      </c>
      <c r="D70" t="inlineStr">
        <is>
          <t>60-89</t>
        </is>
      </c>
      <c r="E70" t="n">
        <v>60</v>
      </c>
      <c r="F70" t="n">
        <v>2</v>
      </c>
      <c r="G70" t="n">
        <v>585817.9300000001</v>
      </c>
      <c r="H70">
        <f>IFERROR(VLOOKUP(C70,Lookups!$A$3:$C$7,3,FALSE),"UNMAPPED")</f>
        <v/>
      </c>
    </row>
    <row r="71">
      <c r="A71" s="5" t="n">
        <v>45596</v>
      </c>
      <c r="B71" t="inlineStr">
        <is>
          <t>CZ</t>
        </is>
      </c>
      <c r="C71" t="inlineStr">
        <is>
          <t>PL_PREM</t>
        </is>
      </c>
      <c r="D71" t="inlineStr">
        <is>
          <t>90-179</t>
        </is>
      </c>
      <c r="E71" t="n">
        <v>90</v>
      </c>
      <c r="F71" t="n">
        <v>7</v>
      </c>
      <c r="G71" t="n">
        <v>2512990.71</v>
      </c>
      <c r="H71">
        <f>IFERROR(VLOOKUP(C71,Lookups!$A$3:$C$7,3,FALSE),"UNMAPPED")</f>
        <v/>
      </c>
    </row>
    <row r="72">
      <c r="A72" s="5" t="n">
        <v>45596</v>
      </c>
      <c r="B72" t="inlineStr">
        <is>
          <t>CZ</t>
        </is>
      </c>
      <c r="C72" t="inlineStr">
        <is>
          <t>PL_STD</t>
        </is>
      </c>
      <c r="D72" t="inlineStr">
        <is>
          <t>Current</t>
        </is>
      </c>
      <c r="E72" t="n">
        <v>0</v>
      </c>
      <c r="F72" t="n">
        <v>659</v>
      </c>
      <c r="G72" t="n">
        <v>50590155.25</v>
      </c>
      <c r="H72">
        <f>IFERROR(VLOOKUP(C72,Lookups!$A$3:$C$7,3,FALSE),"UNMAPPED")</f>
        <v/>
      </c>
    </row>
    <row r="73">
      <c r="A73" s="5" t="n">
        <v>45596</v>
      </c>
      <c r="B73" t="inlineStr">
        <is>
          <t>CZ</t>
        </is>
      </c>
      <c r="C73" t="inlineStr">
        <is>
          <t>PL_STD</t>
        </is>
      </c>
      <c r="D73" t="inlineStr">
        <is>
          <t>1-29</t>
        </is>
      </c>
      <c r="E73" t="n">
        <v>1</v>
      </c>
      <c r="F73" t="n">
        <v>10</v>
      </c>
      <c r="G73" t="n">
        <v>697640.5600000001</v>
      </c>
      <c r="H73">
        <f>IFERROR(VLOOKUP(C73,Lookups!$A$3:$C$7,3,FALSE),"UNMAPPED")</f>
        <v/>
      </c>
    </row>
    <row r="74">
      <c r="A74" s="5" t="n">
        <v>45596</v>
      </c>
      <c r="B74" t="inlineStr">
        <is>
          <t>CZ</t>
        </is>
      </c>
      <c r="C74" t="inlineStr">
        <is>
          <t>PL_STD</t>
        </is>
      </c>
      <c r="D74" t="inlineStr">
        <is>
          <t>30-59</t>
        </is>
      </c>
      <c r="E74" t="n">
        <v>30</v>
      </c>
      <c r="F74" t="n">
        <v>6</v>
      </c>
      <c r="G74" t="n">
        <v>352845.43</v>
      </c>
      <c r="H74">
        <f>IFERROR(VLOOKUP(C74,Lookups!$A$3:$C$7,3,FALSE),"UNMAPPED")</f>
        <v/>
      </c>
    </row>
    <row r="75">
      <c r="A75" s="5" t="n">
        <v>45596</v>
      </c>
      <c r="B75" t="inlineStr">
        <is>
          <t>CZ</t>
        </is>
      </c>
      <c r="C75" t="inlineStr">
        <is>
          <t>PL_STD</t>
        </is>
      </c>
      <c r="D75" t="inlineStr">
        <is>
          <t>60-89</t>
        </is>
      </c>
      <c r="E75" t="n">
        <v>60</v>
      </c>
      <c r="F75" t="n">
        <v>1</v>
      </c>
      <c r="G75" t="n">
        <v>22558.61</v>
      </c>
      <c r="H75">
        <f>IFERROR(VLOOKUP(C75,Lookups!$A$3:$C$7,3,FALSE),"UNMAPPED")</f>
        <v/>
      </c>
    </row>
    <row r="76">
      <c r="A76" s="5" t="n">
        <v>45596</v>
      </c>
      <c r="B76" t="inlineStr">
        <is>
          <t>CZ</t>
        </is>
      </c>
      <c r="C76" t="inlineStr">
        <is>
          <t>PL_STD</t>
        </is>
      </c>
      <c r="D76" t="inlineStr">
        <is>
          <t>90-179</t>
        </is>
      </c>
      <c r="E76" t="n">
        <v>90</v>
      </c>
      <c r="F76" t="n">
        <v>4</v>
      </c>
      <c r="G76" t="n">
        <v>265399.48</v>
      </c>
      <c r="H76">
        <f>IFERROR(VLOOKUP(C76,Lookups!$A$3:$C$7,3,FALSE),"UNMAPPED")</f>
        <v/>
      </c>
    </row>
    <row r="77">
      <c r="A77" s="5" t="n">
        <v>45596</v>
      </c>
      <c r="B77" t="inlineStr">
        <is>
          <t>PL</t>
        </is>
      </c>
      <c r="C77" t="inlineStr">
        <is>
          <t>CC_CLASSIC</t>
        </is>
      </c>
      <c r="D77" t="inlineStr">
        <is>
          <t>Current</t>
        </is>
      </c>
      <c r="E77" t="n">
        <v>0</v>
      </c>
      <c r="F77" t="n">
        <v>1090</v>
      </c>
      <c r="G77" t="n">
        <v>2890031.22</v>
      </c>
      <c r="H77">
        <f>IFERROR(VLOOKUP(C77,Lookups!$A$3:$C$7,3,FALSE),"UNMAPPED")</f>
        <v/>
      </c>
    </row>
    <row r="78">
      <c r="A78" s="5" t="n">
        <v>45596</v>
      </c>
      <c r="B78" t="inlineStr">
        <is>
          <t>PL</t>
        </is>
      </c>
      <c r="C78" t="inlineStr">
        <is>
          <t>CC_CLASSIC</t>
        </is>
      </c>
      <c r="D78" t="inlineStr">
        <is>
          <t>1-29</t>
        </is>
      </c>
      <c r="E78" t="n">
        <v>1</v>
      </c>
      <c r="F78" t="n">
        <v>13</v>
      </c>
      <c r="G78" t="n">
        <v>37374.16</v>
      </c>
      <c r="H78">
        <f>IFERROR(VLOOKUP(C78,Lookups!$A$3:$C$7,3,FALSE),"UNMAPPED")</f>
        <v/>
      </c>
    </row>
    <row r="79">
      <c r="A79" s="5" t="n">
        <v>45596</v>
      </c>
      <c r="B79" t="inlineStr">
        <is>
          <t>PL</t>
        </is>
      </c>
      <c r="C79" t="inlineStr">
        <is>
          <t>CC_CLASSIC</t>
        </is>
      </c>
      <c r="D79" t="inlineStr">
        <is>
          <t>30-59</t>
        </is>
      </c>
      <c r="E79" t="n">
        <v>30</v>
      </c>
      <c r="F79" t="n">
        <v>4</v>
      </c>
      <c r="G79" t="n">
        <v>20896.39</v>
      </c>
      <c r="H79">
        <f>IFERROR(VLOOKUP(C79,Lookups!$A$3:$C$7,3,FALSE),"UNMAPPED")</f>
        <v/>
      </c>
    </row>
    <row r="80">
      <c r="A80" s="5" t="n">
        <v>45596</v>
      </c>
      <c r="B80" t="inlineStr">
        <is>
          <t>PL</t>
        </is>
      </c>
      <c r="C80" t="inlineStr">
        <is>
          <t>CC_CLASSIC</t>
        </is>
      </c>
      <c r="D80" t="inlineStr">
        <is>
          <t>60-89</t>
        </is>
      </c>
      <c r="E80" t="n">
        <v>60</v>
      </c>
      <c r="F80" t="n">
        <v>5</v>
      </c>
      <c r="G80" t="n">
        <v>16379.27</v>
      </c>
      <c r="H80">
        <f>IFERROR(VLOOKUP(C80,Lookups!$A$3:$C$7,3,FALSE),"UNMAPPED")</f>
        <v/>
      </c>
    </row>
    <row r="81">
      <c r="A81" s="5" t="n">
        <v>45596</v>
      </c>
      <c r="B81" t="inlineStr">
        <is>
          <t>PL</t>
        </is>
      </c>
      <c r="C81" t="inlineStr">
        <is>
          <t>CC_CLASSIC</t>
        </is>
      </c>
      <c r="D81" t="inlineStr">
        <is>
          <t>90-179</t>
        </is>
      </c>
      <c r="E81" t="n">
        <v>90</v>
      </c>
      <c r="F81" t="n">
        <v>14</v>
      </c>
      <c r="G81" t="n">
        <v>38865.68</v>
      </c>
      <c r="H81">
        <f>IFERROR(VLOOKUP(C81,Lookups!$A$3:$C$7,3,FALSE),"UNMAPPED")</f>
        <v/>
      </c>
    </row>
    <row r="82">
      <c r="A82" s="5" t="n">
        <v>45596</v>
      </c>
      <c r="B82" t="inlineStr">
        <is>
          <t>PL</t>
        </is>
      </c>
      <c r="C82" t="inlineStr">
        <is>
          <t>CC_GOLD</t>
        </is>
      </c>
      <c r="D82" t="inlineStr">
        <is>
          <t>Current</t>
        </is>
      </c>
      <c r="E82" t="n">
        <v>0</v>
      </c>
      <c r="F82" t="n">
        <v>320</v>
      </c>
      <c r="G82" t="n">
        <v>3100772.87</v>
      </c>
      <c r="H82">
        <f>IFERROR(VLOOKUP(C82,Lookups!$A$3:$C$7,3,FALSE),"UNMAPPED")</f>
        <v/>
      </c>
    </row>
    <row r="83">
      <c r="A83" s="5" t="n">
        <v>45596</v>
      </c>
      <c r="B83" t="inlineStr">
        <is>
          <t>PL</t>
        </is>
      </c>
      <c r="C83" t="inlineStr">
        <is>
          <t>CC_GOLD</t>
        </is>
      </c>
      <c r="D83" t="inlineStr">
        <is>
          <t>1-29</t>
        </is>
      </c>
      <c r="E83" t="n">
        <v>1</v>
      </c>
      <c r="F83" t="n">
        <v>6</v>
      </c>
      <c r="G83" t="n">
        <v>60102.87</v>
      </c>
      <c r="H83">
        <f>IFERROR(VLOOKUP(C83,Lookups!$A$3:$C$7,3,FALSE),"UNMAPPED")</f>
        <v/>
      </c>
    </row>
    <row r="84">
      <c r="A84" s="5" t="n">
        <v>45596</v>
      </c>
      <c r="B84" t="inlineStr">
        <is>
          <t>PL</t>
        </is>
      </c>
      <c r="C84" t="inlineStr">
        <is>
          <t>CC_GOLD</t>
        </is>
      </c>
      <c r="D84" t="inlineStr">
        <is>
          <t>30-59</t>
        </is>
      </c>
      <c r="E84" t="n">
        <v>30</v>
      </c>
      <c r="F84" t="n">
        <v>7</v>
      </c>
      <c r="G84" t="n">
        <v>78199.66</v>
      </c>
      <c r="H84">
        <f>IFERROR(VLOOKUP(C84,Lookups!$A$3:$C$7,3,FALSE),"UNMAPPED")</f>
        <v/>
      </c>
    </row>
    <row r="85">
      <c r="A85" s="5" t="n">
        <v>45596</v>
      </c>
      <c r="B85" t="inlineStr">
        <is>
          <t>PL</t>
        </is>
      </c>
      <c r="C85" t="inlineStr">
        <is>
          <t>CC_GOLD</t>
        </is>
      </c>
      <c r="D85" t="inlineStr">
        <is>
          <t>60-89</t>
        </is>
      </c>
      <c r="E85" t="n">
        <v>60</v>
      </c>
      <c r="F85" t="n">
        <v>1</v>
      </c>
      <c r="G85" t="n">
        <v>10720.05</v>
      </c>
      <c r="H85">
        <f>IFERROR(VLOOKUP(C85,Lookups!$A$3:$C$7,3,FALSE),"UNMAPPED")</f>
        <v/>
      </c>
    </row>
    <row r="86">
      <c r="A86" s="5" t="n">
        <v>45596</v>
      </c>
      <c r="B86" t="inlineStr">
        <is>
          <t>PL</t>
        </is>
      </c>
      <c r="C86" t="inlineStr">
        <is>
          <t>CC_GOLD</t>
        </is>
      </c>
      <c r="D86" t="inlineStr">
        <is>
          <t>90-179</t>
        </is>
      </c>
      <c r="E86" t="n">
        <v>90</v>
      </c>
      <c r="F86" t="n">
        <v>2</v>
      </c>
      <c r="G86" t="n">
        <v>25270.31</v>
      </c>
      <c r="H86">
        <f>IFERROR(VLOOKUP(C86,Lookups!$A$3:$C$7,3,FALSE),"UNMAPPED")</f>
        <v/>
      </c>
    </row>
    <row r="87">
      <c r="A87" s="5" t="n">
        <v>45596</v>
      </c>
      <c r="B87" t="inlineStr">
        <is>
          <t>PL</t>
        </is>
      </c>
      <c r="C87" t="inlineStr">
        <is>
          <t>PL_PREM</t>
        </is>
      </c>
      <c r="D87" t="inlineStr">
        <is>
          <t>Current</t>
        </is>
      </c>
      <c r="E87" t="n">
        <v>0</v>
      </c>
      <c r="F87" t="n">
        <v>332</v>
      </c>
      <c r="G87" t="n">
        <v>15179389.21</v>
      </c>
      <c r="H87">
        <f>IFERROR(VLOOKUP(C87,Lookups!$A$3:$C$7,3,FALSE),"UNMAPPED")</f>
        <v/>
      </c>
    </row>
    <row r="88">
      <c r="A88" s="5" t="n">
        <v>45596</v>
      </c>
      <c r="B88" t="inlineStr">
        <is>
          <t>PL</t>
        </is>
      </c>
      <c r="C88" t="inlineStr">
        <is>
          <t>PL_PREM</t>
        </is>
      </c>
      <c r="D88" t="inlineStr">
        <is>
          <t>1-29</t>
        </is>
      </c>
      <c r="E88" t="n">
        <v>1</v>
      </c>
      <c r="F88" t="n">
        <v>4</v>
      </c>
      <c r="G88" t="n">
        <v>121204.18</v>
      </c>
      <c r="H88">
        <f>IFERROR(VLOOKUP(C88,Lookups!$A$3:$C$7,3,FALSE),"UNMAPPED")</f>
        <v/>
      </c>
    </row>
    <row r="89">
      <c r="A89" s="5" t="n">
        <v>45596</v>
      </c>
      <c r="B89" t="inlineStr">
        <is>
          <t>PL</t>
        </is>
      </c>
      <c r="C89" t="inlineStr">
        <is>
          <t>PL_PREM</t>
        </is>
      </c>
      <c r="D89" t="inlineStr">
        <is>
          <t>30-59</t>
        </is>
      </c>
      <c r="E89" t="n">
        <v>30</v>
      </c>
      <c r="F89" t="n">
        <v>4</v>
      </c>
      <c r="G89" t="n">
        <v>242402.9</v>
      </c>
      <c r="H89">
        <f>IFERROR(VLOOKUP(C89,Lookups!$A$3:$C$7,3,FALSE),"UNMAPPED")</f>
        <v/>
      </c>
    </row>
    <row r="90">
      <c r="A90" s="5" t="n">
        <v>45596</v>
      </c>
      <c r="B90" t="inlineStr">
        <is>
          <t>PL</t>
        </is>
      </c>
      <c r="C90" t="inlineStr">
        <is>
          <t>PL_PREM</t>
        </is>
      </c>
      <c r="D90" t="inlineStr">
        <is>
          <t>60-89</t>
        </is>
      </c>
      <c r="E90" t="n">
        <v>60</v>
      </c>
      <c r="F90" t="n">
        <v>2</v>
      </c>
      <c r="G90" t="n">
        <v>99798.53</v>
      </c>
      <c r="H90">
        <f>IFERROR(VLOOKUP(C90,Lookups!$A$3:$C$7,3,FALSE),"UNMAPPED")</f>
        <v/>
      </c>
    </row>
    <row r="91">
      <c r="A91" s="5" t="n">
        <v>45596</v>
      </c>
      <c r="B91" t="inlineStr">
        <is>
          <t>PL</t>
        </is>
      </c>
      <c r="C91" t="inlineStr">
        <is>
          <t>PL_PREM</t>
        </is>
      </c>
      <c r="D91" t="inlineStr">
        <is>
          <t>90-179</t>
        </is>
      </c>
      <c r="E91" t="n">
        <v>90</v>
      </c>
      <c r="F91" t="n">
        <v>3</v>
      </c>
      <c r="G91" t="n">
        <v>149706.55</v>
      </c>
      <c r="H91">
        <f>IFERROR(VLOOKUP(C91,Lookups!$A$3:$C$7,3,FALSE),"UNMAPPED")</f>
        <v/>
      </c>
    </row>
    <row r="92">
      <c r="A92" s="5" t="n">
        <v>45596</v>
      </c>
      <c r="B92" t="inlineStr">
        <is>
          <t>PL</t>
        </is>
      </c>
      <c r="C92" t="inlineStr">
        <is>
          <t>PL_STD</t>
        </is>
      </c>
      <c r="D92" t="inlineStr">
        <is>
          <t>Current</t>
        </is>
      </c>
      <c r="E92" t="n">
        <v>0</v>
      </c>
      <c r="F92" t="n">
        <v>900</v>
      </c>
      <c r="G92" t="n">
        <v>12101070.31</v>
      </c>
      <c r="H92">
        <f>IFERROR(VLOOKUP(C92,Lookups!$A$3:$C$7,3,FALSE),"UNMAPPED")</f>
        <v/>
      </c>
    </row>
    <row r="93">
      <c r="A93" s="5" t="n">
        <v>45596</v>
      </c>
      <c r="B93" t="inlineStr">
        <is>
          <t>PL</t>
        </is>
      </c>
      <c r="C93" t="inlineStr">
        <is>
          <t>PL_STD</t>
        </is>
      </c>
      <c r="D93" t="inlineStr">
        <is>
          <t>1-29</t>
        </is>
      </c>
      <c r="E93" t="n">
        <v>1</v>
      </c>
      <c r="F93" t="n">
        <v>17</v>
      </c>
      <c r="G93" t="n">
        <v>207333.82</v>
      </c>
      <c r="H93">
        <f>IFERROR(VLOOKUP(C93,Lookups!$A$3:$C$7,3,FALSE),"UNMAPPED")</f>
        <v/>
      </c>
    </row>
    <row r="94">
      <c r="A94" s="5" t="n">
        <v>45596</v>
      </c>
      <c r="B94" t="inlineStr">
        <is>
          <t>PL</t>
        </is>
      </c>
      <c r="C94" t="inlineStr">
        <is>
          <t>PL_STD</t>
        </is>
      </c>
      <c r="D94" t="inlineStr">
        <is>
          <t>30-59</t>
        </is>
      </c>
      <c r="E94" t="n">
        <v>30</v>
      </c>
      <c r="F94" t="n">
        <v>6</v>
      </c>
      <c r="G94" t="n">
        <v>68199.00999999999</v>
      </c>
      <c r="H94">
        <f>IFERROR(VLOOKUP(C94,Lookups!$A$3:$C$7,3,FALSE),"UNMAPPED")</f>
        <v/>
      </c>
    </row>
    <row r="95">
      <c r="A95" s="5" t="n">
        <v>45596</v>
      </c>
      <c r="B95" t="inlineStr">
        <is>
          <t>PL</t>
        </is>
      </c>
      <c r="C95" t="inlineStr">
        <is>
          <t>PL_STD</t>
        </is>
      </c>
      <c r="D95" t="inlineStr">
        <is>
          <t>60-89</t>
        </is>
      </c>
      <c r="E95" t="n">
        <v>60</v>
      </c>
      <c r="F95" t="n">
        <v>3</v>
      </c>
      <c r="G95" t="n">
        <v>72712.99000000001</v>
      </c>
      <c r="H95">
        <f>IFERROR(VLOOKUP(C95,Lookups!$A$3:$C$7,3,FALSE),"UNMAPPED")</f>
        <v/>
      </c>
    </row>
    <row r="96">
      <c r="A96" s="5" t="n">
        <v>45596</v>
      </c>
      <c r="B96" t="inlineStr">
        <is>
          <t>PL</t>
        </is>
      </c>
      <c r="C96" t="inlineStr">
        <is>
          <t>PL_STD</t>
        </is>
      </c>
      <c r="D96" t="inlineStr">
        <is>
          <t>90-179</t>
        </is>
      </c>
      <c r="E96" t="n">
        <v>90</v>
      </c>
      <c r="F96" t="n">
        <v>15</v>
      </c>
      <c r="G96" t="n">
        <v>247874.83</v>
      </c>
      <c r="H96">
        <f>IFERROR(VLOOKUP(C96,Lookups!$A$3:$C$7,3,FALSE),"UNMAPPED")</f>
        <v/>
      </c>
    </row>
    <row r="97">
      <c r="A97" s="5" t="n">
        <v>45596</v>
      </c>
      <c r="B97" t="inlineStr">
        <is>
          <t>RO</t>
        </is>
      </c>
      <c r="C97" t="inlineStr">
        <is>
          <t>CC_CLASSIC</t>
        </is>
      </c>
      <c r="D97" t="inlineStr">
        <is>
          <t>Current</t>
        </is>
      </c>
      <c r="E97" t="n">
        <v>0</v>
      </c>
      <c r="F97" t="n">
        <v>585</v>
      </c>
      <c r="G97" t="n">
        <v>1755693.03</v>
      </c>
      <c r="H97">
        <f>IFERROR(VLOOKUP(C97,Lookups!$A$3:$C$7,3,FALSE),"UNMAPPED")</f>
        <v/>
      </c>
    </row>
    <row r="98">
      <c r="A98" s="5" t="n">
        <v>45596</v>
      </c>
      <c r="B98" t="inlineStr">
        <is>
          <t>RO</t>
        </is>
      </c>
      <c r="C98" t="inlineStr">
        <is>
          <t>CC_CLASSIC</t>
        </is>
      </c>
      <c r="D98" t="inlineStr">
        <is>
          <t>1-29</t>
        </is>
      </c>
      <c r="E98" t="n">
        <v>1</v>
      </c>
      <c r="F98" t="n">
        <v>2</v>
      </c>
      <c r="G98" t="n">
        <v>9322.34</v>
      </c>
      <c r="H98">
        <f>IFERROR(VLOOKUP(C98,Lookups!$A$3:$C$7,3,FALSE),"UNMAPPED")</f>
        <v/>
      </c>
    </row>
    <row r="99">
      <c r="A99" s="5" t="n">
        <v>45596</v>
      </c>
      <c r="B99" t="inlineStr">
        <is>
          <t>RO</t>
        </is>
      </c>
      <c r="C99" t="inlineStr">
        <is>
          <t>CC_CLASSIC</t>
        </is>
      </c>
      <c r="D99" t="inlineStr">
        <is>
          <t>30-59</t>
        </is>
      </c>
      <c r="E99" t="n">
        <v>30</v>
      </c>
      <c r="F99" t="n">
        <v>3</v>
      </c>
      <c r="G99" t="n">
        <v>6349.9</v>
      </c>
      <c r="H99">
        <f>IFERROR(VLOOKUP(C99,Lookups!$A$3:$C$7,3,FALSE),"UNMAPPED")</f>
        <v/>
      </c>
    </row>
    <row r="100">
      <c r="A100" s="5" t="n">
        <v>45596</v>
      </c>
      <c r="B100" t="inlineStr">
        <is>
          <t>RO</t>
        </is>
      </c>
      <c r="C100" t="inlineStr">
        <is>
          <t>CC_CLASSIC</t>
        </is>
      </c>
      <c r="D100" t="inlineStr">
        <is>
          <t>60-89</t>
        </is>
      </c>
      <c r="E100" t="n">
        <v>60</v>
      </c>
      <c r="F100" t="n">
        <v>5</v>
      </c>
      <c r="G100" t="n">
        <v>24591.81</v>
      </c>
      <c r="H100">
        <f>IFERROR(VLOOKUP(C100,Lookups!$A$3:$C$7,3,FALSE),"UNMAPPED")</f>
        <v/>
      </c>
    </row>
    <row r="101">
      <c r="A101" s="5" t="n">
        <v>45596</v>
      </c>
      <c r="B101" t="inlineStr">
        <is>
          <t>RO</t>
        </is>
      </c>
      <c r="C101" t="inlineStr">
        <is>
          <t>CC_CLASSIC</t>
        </is>
      </c>
      <c r="D101" t="inlineStr">
        <is>
          <t>90-179</t>
        </is>
      </c>
      <c r="E101" t="n">
        <v>90</v>
      </c>
      <c r="F101" t="n">
        <v>4</v>
      </c>
      <c r="G101" t="n">
        <v>14357.3</v>
      </c>
      <c r="H101">
        <f>IFERROR(VLOOKUP(C101,Lookups!$A$3:$C$7,3,FALSE),"UNMAPPED")</f>
        <v/>
      </c>
    </row>
    <row r="102">
      <c r="A102" s="5" t="n">
        <v>45596</v>
      </c>
      <c r="B102" t="inlineStr">
        <is>
          <t>RO</t>
        </is>
      </c>
      <c r="C102" t="inlineStr">
        <is>
          <t>CC_GOLD</t>
        </is>
      </c>
      <c r="D102" t="inlineStr">
        <is>
          <t>Current</t>
        </is>
      </c>
      <c r="E102" t="n">
        <v>0</v>
      </c>
      <c r="F102" t="n">
        <v>159</v>
      </c>
      <c r="G102" t="n">
        <v>1808123.55</v>
      </c>
      <c r="H102">
        <f>IFERROR(VLOOKUP(C102,Lookups!$A$3:$C$7,3,FALSE),"UNMAPPED")</f>
        <v/>
      </c>
    </row>
    <row r="103">
      <c r="A103" s="5" t="n">
        <v>45596</v>
      </c>
      <c r="B103" t="inlineStr">
        <is>
          <t>RO</t>
        </is>
      </c>
      <c r="C103" t="inlineStr">
        <is>
          <t>CC_GOLD</t>
        </is>
      </c>
      <c r="D103" t="inlineStr">
        <is>
          <t>1-29</t>
        </is>
      </c>
      <c r="E103" t="n">
        <v>1</v>
      </c>
      <c r="F103" t="n">
        <v>2</v>
      </c>
      <c r="G103" t="n">
        <v>14982.5</v>
      </c>
      <c r="H103">
        <f>IFERROR(VLOOKUP(C103,Lookups!$A$3:$C$7,3,FALSE),"UNMAPPED")</f>
        <v/>
      </c>
    </row>
    <row r="104">
      <c r="A104" s="5" t="n">
        <v>45596</v>
      </c>
      <c r="B104" t="inlineStr">
        <is>
          <t>RO</t>
        </is>
      </c>
      <c r="C104" t="inlineStr">
        <is>
          <t>CC_GOLD</t>
        </is>
      </c>
      <c r="D104" t="inlineStr">
        <is>
          <t>30-59</t>
        </is>
      </c>
      <c r="E104" t="n">
        <v>30</v>
      </c>
      <c r="F104" t="n">
        <v>1</v>
      </c>
      <c r="G104" t="n">
        <v>8326.309999999999</v>
      </c>
      <c r="H104">
        <f>IFERROR(VLOOKUP(C104,Lookups!$A$3:$C$7,3,FALSE),"UNMAPPED")</f>
        <v/>
      </c>
    </row>
    <row r="105">
      <c r="A105" s="5" t="n">
        <v>45596</v>
      </c>
      <c r="B105" t="inlineStr">
        <is>
          <t>RO</t>
        </is>
      </c>
      <c r="C105" t="inlineStr">
        <is>
          <t>CC_GOLD</t>
        </is>
      </c>
      <c r="D105" t="inlineStr">
        <is>
          <t>90-179</t>
        </is>
      </c>
      <c r="E105" t="n">
        <v>90</v>
      </c>
      <c r="F105" t="n">
        <v>2</v>
      </c>
      <c r="G105" t="n">
        <v>16733.83</v>
      </c>
      <c r="H105">
        <f>IFERROR(VLOOKUP(C105,Lookups!$A$3:$C$7,3,FALSE),"UNMAPPED")</f>
        <v/>
      </c>
    </row>
    <row r="106">
      <c r="A106" s="5" t="n">
        <v>45596</v>
      </c>
      <c r="B106" t="inlineStr">
        <is>
          <t>RO</t>
        </is>
      </c>
      <c r="C106" t="inlineStr">
        <is>
          <t>PL_PREM</t>
        </is>
      </c>
      <c r="D106" t="inlineStr">
        <is>
          <t>Current</t>
        </is>
      </c>
      <c r="E106" t="n">
        <v>0</v>
      </c>
      <c r="F106" t="n">
        <v>237</v>
      </c>
      <c r="G106" t="n">
        <v>12711241.79</v>
      </c>
      <c r="H106">
        <f>IFERROR(VLOOKUP(C106,Lookups!$A$3:$C$7,3,FALSE),"UNMAPPED")</f>
        <v/>
      </c>
    </row>
    <row r="107">
      <c r="A107" s="5" t="n">
        <v>45596</v>
      </c>
      <c r="B107" t="inlineStr">
        <is>
          <t>RO</t>
        </is>
      </c>
      <c r="C107" t="inlineStr">
        <is>
          <t>PL_PREM</t>
        </is>
      </c>
      <c r="D107" t="inlineStr">
        <is>
          <t>1-29</t>
        </is>
      </c>
      <c r="E107" t="n">
        <v>1</v>
      </c>
      <c r="F107" t="n">
        <v>4</v>
      </c>
      <c r="G107" t="n">
        <v>222379.91</v>
      </c>
      <c r="H107">
        <f>IFERROR(VLOOKUP(C107,Lookups!$A$3:$C$7,3,FALSE),"UNMAPPED")</f>
        <v/>
      </c>
    </row>
    <row r="108">
      <c r="A108" s="5" t="n">
        <v>45596</v>
      </c>
      <c r="B108" t="inlineStr">
        <is>
          <t>RO</t>
        </is>
      </c>
      <c r="C108" t="inlineStr">
        <is>
          <t>PL_PREM</t>
        </is>
      </c>
      <c r="D108" t="inlineStr">
        <is>
          <t>30-59</t>
        </is>
      </c>
      <c r="E108" t="n">
        <v>30</v>
      </c>
      <c r="F108" t="n">
        <v>1</v>
      </c>
      <c r="G108" t="n">
        <v>74398.33</v>
      </c>
      <c r="H108">
        <f>IFERROR(VLOOKUP(C108,Lookups!$A$3:$C$7,3,FALSE),"UNMAPPED")</f>
        <v/>
      </c>
    </row>
    <row r="109">
      <c r="A109" s="5" t="n">
        <v>45596</v>
      </c>
      <c r="B109" t="inlineStr">
        <is>
          <t>RO</t>
        </is>
      </c>
      <c r="C109" t="inlineStr">
        <is>
          <t>PL_PREM</t>
        </is>
      </c>
      <c r="D109" t="inlineStr">
        <is>
          <t>60-89</t>
        </is>
      </c>
      <c r="E109" t="n">
        <v>60</v>
      </c>
      <c r="F109" t="n">
        <v>3</v>
      </c>
      <c r="G109" t="n">
        <v>161310.67</v>
      </c>
      <c r="H109">
        <f>IFERROR(VLOOKUP(C109,Lookups!$A$3:$C$7,3,FALSE),"UNMAPPED")</f>
        <v/>
      </c>
    </row>
    <row r="110">
      <c r="A110" s="5" t="n">
        <v>45596</v>
      </c>
      <c r="B110" t="inlineStr">
        <is>
          <t>RO</t>
        </is>
      </c>
      <c r="C110" t="inlineStr">
        <is>
          <t>PL_STD</t>
        </is>
      </c>
      <c r="D110" t="inlineStr">
        <is>
          <t>Current</t>
        </is>
      </c>
      <c r="E110" t="n">
        <v>0</v>
      </c>
      <c r="F110" t="n">
        <v>563</v>
      </c>
      <c r="G110" t="n">
        <v>9240724.52</v>
      </c>
      <c r="H110">
        <f>IFERROR(VLOOKUP(C110,Lookups!$A$3:$C$7,3,FALSE),"UNMAPPED")</f>
        <v/>
      </c>
    </row>
    <row r="111">
      <c r="A111" s="5" t="n">
        <v>45596</v>
      </c>
      <c r="B111" t="inlineStr">
        <is>
          <t>RO</t>
        </is>
      </c>
      <c r="C111" t="inlineStr">
        <is>
          <t>PL_STD</t>
        </is>
      </c>
      <c r="D111" t="inlineStr">
        <is>
          <t>1-29</t>
        </is>
      </c>
      <c r="E111" t="n">
        <v>1</v>
      </c>
      <c r="F111" t="n">
        <v>8</v>
      </c>
      <c r="G111" t="n">
        <v>119166.35</v>
      </c>
      <c r="H111">
        <f>IFERROR(VLOOKUP(C111,Lookups!$A$3:$C$7,3,FALSE),"UNMAPPED")</f>
        <v/>
      </c>
    </row>
    <row r="112">
      <c r="A112" s="5" t="n">
        <v>45596</v>
      </c>
      <c r="B112" t="inlineStr">
        <is>
          <t>RO</t>
        </is>
      </c>
      <c r="C112" t="inlineStr">
        <is>
          <t>PL_STD</t>
        </is>
      </c>
      <c r="D112" t="inlineStr">
        <is>
          <t>30-59</t>
        </is>
      </c>
      <c r="E112" t="n">
        <v>30</v>
      </c>
      <c r="F112" t="n">
        <v>8</v>
      </c>
      <c r="G112" t="n">
        <v>138105.69</v>
      </c>
      <c r="H112">
        <f>IFERROR(VLOOKUP(C112,Lookups!$A$3:$C$7,3,FALSE),"UNMAPPED")</f>
        <v/>
      </c>
    </row>
    <row r="113">
      <c r="A113" s="5" t="n">
        <v>45596</v>
      </c>
      <c r="B113" t="inlineStr">
        <is>
          <t>RO</t>
        </is>
      </c>
      <c r="C113" t="inlineStr">
        <is>
          <t>PL_STD</t>
        </is>
      </c>
      <c r="D113" t="inlineStr">
        <is>
          <t>60-89</t>
        </is>
      </c>
      <c r="E113" t="n">
        <v>60</v>
      </c>
      <c r="F113" t="n">
        <v>3</v>
      </c>
      <c r="G113" t="n">
        <v>39497.08</v>
      </c>
      <c r="H113">
        <f>IFERROR(VLOOKUP(C113,Lookups!$A$3:$C$7,3,FALSE),"UNMAPPED")</f>
        <v/>
      </c>
    </row>
    <row r="114">
      <c r="A114" s="5" t="n">
        <v>45596</v>
      </c>
      <c r="B114" t="inlineStr">
        <is>
          <t>RO</t>
        </is>
      </c>
      <c r="C114" t="inlineStr">
        <is>
          <t>PL_STD</t>
        </is>
      </c>
      <c r="D114" t="inlineStr">
        <is>
          <t>90-179</t>
        </is>
      </c>
      <c r="E114" t="n">
        <v>90</v>
      </c>
      <c r="F114" t="n">
        <v>7</v>
      </c>
      <c r="G114" t="n">
        <v>104414.54</v>
      </c>
      <c r="H114">
        <f>IFERROR(VLOOKUP(C114,Lookups!$A$3:$C$7,3,FALSE),"UNMAPPED")</f>
        <v/>
      </c>
    </row>
    <row r="115">
      <c r="A115" s="5" t="n">
        <v>45626</v>
      </c>
      <c r="B115" t="inlineStr">
        <is>
          <t>CZ</t>
        </is>
      </c>
      <c r="C115" t="inlineStr">
        <is>
          <t>CC_CLASSIC</t>
        </is>
      </c>
      <c r="D115" t="inlineStr">
        <is>
          <t>Current</t>
        </is>
      </c>
      <c r="E115" t="n">
        <v>0</v>
      </c>
      <c r="F115" t="n">
        <v>850</v>
      </c>
      <c r="G115" t="n">
        <v>13088007.63</v>
      </c>
      <c r="H115">
        <f>IFERROR(VLOOKUP(C115,Lookups!$A$3:$C$7,3,FALSE),"UNMAPPED")</f>
        <v/>
      </c>
    </row>
    <row r="116">
      <c r="A116" s="5" t="n">
        <v>45626</v>
      </c>
      <c r="B116" t="inlineStr">
        <is>
          <t>CZ</t>
        </is>
      </c>
      <c r="C116" t="inlineStr">
        <is>
          <t>CC_CLASSIC</t>
        </is>
      </c>
      <c r="D116" t="inlineStr">
        <is>
          <t>1-29</t>
        </is>
      </c>
      <c r="E116" t="n">
        <v>1</v>
      </c>
      <c r="F116" t="n">
        <v>10</v>
      </c>
      <c r="G116" t="n">
        <v>229509.77</v>
      </c>
      <c r="H116">
        <f>IFERROR(VLOOKUP(C116,Lookups!$A$3:$C$7,3,FALSE),"UNMAPPED")</f>
        <v/>
      </c>
    </row>
    <row r="117">
      <c r="A117" s="5" t="n">
        <v>45626</v>
      </c>
      <c r="B117" t="inlineStr">
        <is>
          <t>CZ</t>
        </is>
      </c>
      <c r="C117" t="inlineStr">
        <is>
          <t>CC_CLASSIC</t>
        </is>
      </c>
      <c r="D117" t="inlineStr">
        <is>
          <t>30-59</t>
        </is>
      </c>
      <c r="E117" t="n">
        <v>30</v>
      </c>
      <c r="F117" t="n">
        <v>2</v>
      </c>
      <c r="G117" t="n">
        <v>41095.96</v>
      </c>
      <c r="H117">
        <f>IFERROR(VLOOKUP(C117,Lookups!$A$3:$C$7,3,FALSE),"UNMAPPED")</f>
        <v/>
      </c>
    </row>
    <row r="118">
      <c r="A118" s="5" t="n">
        <v>45626</v>
      </c>
      <c r="B118" t="inlineStr">
        <is>
          <t>CZ</t>
        </is>
      </c>
      <c r="C118" t="inlineStr">
        <is>
          <t>CC_CLASSIC</t>
        </is>
      </c>
      <c r="D118" t="inlineStr">
        <is>
          <t>60-89</t>
        </is>
      </c>
      <c r="E118" t="n">
        <v>60</v>
      </c>
      <c r="F118" t="n">
        <v>5</v>
      </c>
      <c r="G118" t="n">
        <v>51627.56</v>
      </c>
      <c r="H118">
        <f>IFERROR(VLOOKUP(C118,Lookups!$A$3:$C$7,3,FALSE),"UNMAPPED")</f>
        <v/>
      </c>
    </row>
    <row r="119">
      <c r="A119" s="5" t="n">
        <v>45626</v>
      </c>
      <c r="B119" t="inlineStr">
        <is>
          <t>CZ</t>
        </is>
      </c>
      <c r="C119" t="inlineStr">
        <is>
          <t>CC_CLASSIC</t>
        </is>
      </c>
      <c r="D119" t="inlineStr">
        <is>
          <t>90-179</t>
        </is>
      </c>
      <c r="E119" t="n">
        <v>90</v>
      </c>
      <c r="F119" t="n">
        <v>12</v>
      </c>
      <c r="G119" t="n">
        <v>227882.25</v>
      </c>
      <c r="H119">
        <f>IFERROR(VLOOKUP(C119,Lookups!$A$3:$C$7,3,FALSE),"UNMAPPED")</f>
        <v/>
      </c>
    </row>
    <row r="120">
      <c r="A120" s="5" t="n">
        <v>45626</v>
      </c>
      <c r="B120" t="inlineStr">
        <is>
          <t>CZ</t>
        </is>
      </c>
      <c r="C120" t="inlineStr">
        <is>
          <t>CC_GOLD</t>
        </is>
      </c>
      <c r="D120" t="inlineStr">
        <is>
          <t>Current</t>
        </is>
      </c>
      <c r="E120" t="n">
        <v>0</v>
      </c>
      <c r="F120" t="n">
        <v>250</v>
      </c>
      <c r="G120" t="n">
        <v>14207385.53</v>
      </c>
      <c r="H120">
        <f>IFERROR(VLOOKUP(C120,Lookups!$A$3:$C$7,3,FALSE),"UNMAPPED")</f>
        <v/>
      </c>
    </row>
    <row r="121">
      <c r="A121" s="5" t="n">
        <v>45626</v>
      </c>
      <c r="B121" t="inlineStr">
        <is>
          <t>CZ</t>
        </is>
      </c>
      <c r="C121" t="inlineStr">
        <is>
          <t>CC_GOLD</t>
        </is>
      </c>
      <c r="D121" t="inlineStr">
        <is>
          <t>1-29</t>
        </is>
      </c>
      <c r="E121" t="n">
        <v>1</v>
      </c>
      <c r="F121" t="n">
        <v>2</v>
      </c>
      <c r="G121" t="n">
        <v>143622.22</v>
      </c>
      <c r="H121">
        <f>IFERROR(VLOOKUP(C121,Lookups!$A$3:$C$7,3,FALSE),"UNMAPPED")</f>
        <v/>
      </c>
    </row>
    <row r="122">
      <c r="A122" s="5" t="n">
        <v>45626</v>
      </c>
      <c r="B122" t="inlineStr">
        <is>
          <t>CZ</t>
        </is>
      </c>
      <c r="C122" t="inlineStr">
        <is>
          <t>CC_GOLD</t>
        </is>
      </c>
      <c r="D122" t="inlineStr">
        <is>
          <t>30-59</t>
        </is>
      </c>
      <c r="E122" t="n">
        <v>30</v>
      </c>
      <c r="F122" t="n">
        <v>1</v>
      </c>
      <c r="G122" t="n">
        <v>69927.39</v>
      </c>
      <c r="H122">
        <f>IFERROR(VLOOKUP(C122,Lookups!$A$3:$C$7,3,FALSE),"UNMAPPED")</f>
        <v/>
      </c>
    </row>
    <row r="123">
      <c r="A123" s="5" t="n">
        <v>45626</v>
      </c>
      <c r="B123" t="inlineStr">
        <is>
          <t>CZ</t>
        </is>
      </c>
      <c r="C123" t="inlineStr">
        <is>
          <t>CC_GOLD</t>
        </is>
      </c>
      <c r="D123" t="inlineStr">
        <is>
          <t>60-89</t>
        </is>
      </c>
      <c r="E123" t="n">
        <v>60</v>
      </c>
      <c r="F123" t="n">
        <v>2</v>
      </c>
      <c r="G123" t="n">
        <v>200294.1</v>
      </c>
      <c r="H123">
        <f>IFERROR(VLOOKUP(C123,Lookups!$A$3:$C$7,3,FALSE),"UNMAPPED")</f>
        <v/>
      </c>
    </row>
    <row r="124">
      <c r="A124" s="5" t="n">
        <v>45626</v>
      </c>
      <c r="B124" t="inlineStr">
        <is>
          <t>CZ</t>
        </is>
      </c>
      <c r="C124" t="inlineStr">
        <is>
          <t>CC_GOLD</t>
        </is>
      </c>
      <c r="D124" t="inlineStr">
        <is>
          <t>90-179</t>
        </is>
      </c>
      <c r="E124" t="n">
        <v>90</v>
      </c>
      <c r="F124" t="n">
        <v>1</v>
      </c>
      <c r="G124" t="n">
        <v>68136.25</v>
      </c>
      <c r="H124">
        <f>IFERROR(VLOOKUP(C124,Lookups!$A$3:$C$7,3,FALSE),"UNMAPPED")</f>
        <v/>
      </c>
    </row>
    <row r="125">
      <c r="A125" s="5" t="n">
        <v>45626</v>
      </c>
      <c r="B125" t="inlineStr">
        <is>
          <t>CZ</t>
        </is>
      </c>
      <c r="C125" t="inlineStr">
        <is>
          <t>PL_PREM</t>
        </is>
      </c>
      <c r="D125" t="inlineStr">
        <is>
          <t>Current</t>
        </is>
      </c>
      <c r="E125" t="n">
        <v>0</v>
      </c>
      <c r="F125" t="n">
        <v>247</v>
      </c>
      <c r="G125" t="n">
        <v>62921072.2</v>
      </c>
      <c r="H125">
        <f>IFERROR(VLOOKUP(C125,Lookups!$A$3:$C$7,3,FALSE),"UNMAPPED")</f>
        <v/>
      </c>
    </row>
    <row r="126">
      <c r="A126" s="5" t="n">
        <v>45626</v>
      </c>
      <c r="B126" t="inlineStr">
        <is>
          <t>CZ</t>
        </is>
      </c>
      <c r="C126" t="inlineStr">
        <is>
          <t>PL_PREM</t>
        </is>
      </c>
      <c r="D126" t="inlineStr">
        <is>
          <t>1-29</t>
        </is>
      </c>
      <c r="E126" t="n">
        <v>1</v>
      </c>
      <c r="F126" t="n">
        <v>9</v>
      </c>
      <c r="G126" t="n">
        <v>2457332.16</v>
      </c>
      <c r="H126">
        <f>IFERROR(VLOOKUP(C126,Lookups!$A$3:$C$7,3,FALSE),"UNMAPPED")</f>
        <v/>
      </c>
    </row>
    <row r="127">
      <c r="A127" s="5" t="n">
        <v>45626</v>
      </c>
      <c r="B127" t="inlineStr">
        <is>
          <t>CZ</t>
        </is>
      </c>
      <c r="C127" t="inlineStr">
        <is>
          <t>PL_PREM</t>
        </is>
      </c>
      <c r="D127" t="inlineStr">
        <is>
          <t>30-59</t>
        </is>
      </c>
      <c r="E127" t="n">
        <v>30</v>
      </c>
      <c r="F127" t="n">
        <v>2</v>
      </c>
      <c r="G127" t="n">
        <v>378642.2</v>
      </c>
      <c r="H127">
        <f>IFERROR(VLOOKUP(C127,Lookups!$A$3:$C$7,3,FALSE),"UNMAPPED")</f>
        <v/>
      </c>
    </row>
    <row r="128">
      <c r="A128" s="5" t="n">
        <v>45626</v>
      </c>
      <c r="B128" t="inlineStr">
        <is>
          <t>CZ</t>
        </is>
      </c>
      <c r="C128" t="inlineStr">
        <is>
          <t>PL_PREM</t>
        </is>
      </c>
      <c r="D128" t="inlineStr">
        <is>
          <t>60-89</t>
        </is>
      </c>
      <c r="E128" t="n">
        <v>60</v>
      </c>
      <c r="F128" t="n">
        <v>1</v>
      </c>
      <c r="G128" t="n">
        <v>188188.97</v>
      </c>
      <c r="H128">
        <f>IFERROR(VLOOKUP(C128,Lookups!$A$3:$C$7,3,FALSE),"UNMAPPED")</f>
        <v/>
      </c>
    </row>
    <row r="129">
      <c r="A129" s="5" t="n">
        <v>45626</v>
      </c>
      <c r="B129" t="inlineStr">
        <is>
          <t>CZ</t>
        </is>
      </c>
      <c r="C129" t="inlineStr">
        <is>
          <t>PL_PREM</t>
        </is>
      </c>
      <c r="D129" t="inlineStr">
        <is>
          <t>90-179</t>
        </is>
      </c>
      <c r="E129" t="n">
        <v>90</v>
      </c>
      <c r="F129" t="n">
        <v>9</v>
      </c>
      <c r="G129" t="n">
        <v>3124373.8</v>
      </c>
      <c r="H129">
        <f>IFERROR(VLOOKUP(C129,Lookups!$A$3:$C$7,3,FALSE),"UNMAPPED")</f>
        <v/>
      </c>
    </row>
    <row r="130">
      <c r="A130" s="5" t="n">
        <v>45626</v>
      </c>
      <c r="B130" t="inlineStr">
        <is>
          <t>CZ</t>
        </is>
      </c>
      <c r="C130" t="inlineStr">
        <is>
          <t>PL_STD</t>
        </is>
      </c>
      <c r="D130" t="inlineStr">
        <is>
          <t>Current</t>
        </is>
      </c>
      <c r="E130" t="n">
        <v>0</v>
      </c>
      <c r="F130" t="n">
        <v>706</v>
      </c>
      <c r="G130" t="n">
        <v>54433939.57</v>
      </c>
      <c r="H130">
        <f>IFERROR(VLOOKUP(C130,Lookups!$A$3:$C$7,3,FALSE),"UNMAPPED")</f>
        <v/>
      </c>
    </row>
    <row r="131">
      <c r="A131" s="5" t="n">
        <v>45626</v>
      </c>
      <c r="B131" t="inlineStr">
        <is>
          <t>CZ</t>
        </is>
      </c>
      <c r="C131" t="inlineStr">
        <is>
          <t>PL_STD</t>
        </is>
      </c>
      <c r="D131" t="inlineStr">
        <is>
          <t>1-29</t>
        </is>
      </c>
      <c r="E131" t="n">
        <v>1</v>
      </c>
      <c r="F131" t="n">
        <v>9</v>
      </c>
      <c r="G131" t="n">
        <v>526258.25</v>
      </c>
      <c r="H131">
        <f>IFERROR(VLOOKUP(C131,Lookups!$A$3:$C$7,3,FALSE),"UNMAPPED")</f>
        <v/>
      </c>
    </row>
    <row r="132">
      <c r="A132" s="5" t="n">
        <v>45626</v>
      </c>
      <c r="B132" t="inlineStr">
        <is>
          <t>CZ</t>
        </is>
      </c>
      <c r="C132" t="inlineStr">
        <is>
          <t>PL_STD</t>
        </is>
      </c>
      <c r="D132" t="inlineStr">
        <is>
          <t>30-59</t>
        </is>
      </c>
      <c r="E132" t="n">
        <v>30</v>
      </c>
      <c r="F132" t="n">
        <v>5</v>
      </c>
      <c r="G132" t="n">
        <v>218177.57</v>
      </c>
      <c r="H132">
        <f>IFERROR(VLOOKUP(C132,Lookups!$A$3:$C$7,3,FALSE),"UNMAPPED")</f>
        <v/>
      </c>
    </row>
    <row r="133">
      <c r="A133" s="5" t="n">
        <v>45626</v>
      </c>
      <c r="B133" t="inlineStr">
        <is>
          <t>CZ</t>
        </is>
      </c>
      <c r="C133" t="inlineStr">
        <is>
          <t>PL_STD</t>
        </is>
      </c>
      <c r="D133" t="inlineStr">
        <is>
          <t>60-89</t>
        </is>
      </c>
      <c r="E133" t="n">
        <v>60</v>
      </c>
      <c r="F133" t="n">
        <v>3</v>
      </c>
      <c r="G133" t="n">
        <v>193082.31</v>
      </c>
      <c r="H133">
        <f>IFERROR(VLOOKUP(C133,Lookups!$A$3:$C$7,3,FALSE),"UNMAPPED")</f>
        <v/>
      </c>
    </row>
    <row r="134">
      <c r="A134" s="5" t="n">
        <v>45626</v>
      </c>
      <c r="B134" t="inlineStr">
        <is>
          <t>CZ</t>
        </is>
      </c>
      <c r="C134" t="inlineStr">
        <is>
          <t>PL_STD</t>
        </is>
      </c>
      <c r="D134" t="inlineStr">
        <is>
          <t>90-179</t>
        </is>
      </c>
      <c r="E134" t="n">
        <v>90</v>
      </c>
      <c r="F134" t="n">
        <v>3</v>
      </c>
      <c r="G134" t="n">
        <v>249181.2</v>
      </c>
      <c r="H134">
        <f>IFERROR(VLOOKUP(C134,Lookups!$A$3:$C$7,3,FALSE),"UNMAPPED")</f>
        <v/>
      </c>
    </row>
    <row r="135">
      <c r="A135" s="5" t="n">
        <v>45626</v>
      </c>
      <c r="B135" t="inlineStr">
        <is>
          <t>PL</t>
        </is>
      </c>
      <c r="C135" t="inlineStr">
        <is>
          <t>CC_CLASSIC</t>
        </is>
      </c>
      <c r="D135" t="inlineStr">
        <is>
          <t>Current</t>
        </is>
      </c>
      <c r="E135" t="n">
        <v>0</v>
      </c>
      <c r="F135" t="n">
        <v>1141</v>
      </c>
      <c r="G135" t="n">
        <v>3099026.66</v>
      </c>
      <c r="H135">
        <f>IFERROR(VLOOKUP(C135,Lookups!$A$3:$C$7,3,FALSE),"UNMAPPED")</f>
        <v/>
      </c>
    </row>
    <row r="136">
      <c r="A136" s="5" t="n">
        <v>45626</v>
      </c>
      <c r="B136" t="inlineStr">
        <is>
          <t>PL</t>
        </is>
      </c>
      <c r="C136" t="inlineStr">
        <is>
          <t>CC_CLASSIC</t>
        </is>
      </c>
      <c r="D136" t="inlineStr">
        <is>
          <t>1-29</t>
        </is>
      </c>
      <c r="E136" t="n">
        <v>1</v>
      </c>
      <c r="F136" t="n">
        <v>20</v>
      </c>
      <c r="G136" t="n">
        <v>51987.47</v>
      </c>
      <c r="H136">
        <f>IFERROR(VLOOKUP(C136,Lookups!$A$3:$C$7,3,FALSE),"UNMAPPED")</f>
        <v/>
      </c>
    </row>
    <row r="137">
      <c r="A137" s="5" t="n">
        <v>45626</v>
      </c>
      <c r="B137" t="inlineStr">
        <is>
          <t>PL</t>
        </is>
      </c>
      <c r="C137" t="inlineStr">
        <is>
          <t>CC_CLASSIC</t>
        </is>
      </c>
      <c r="D137" t="inlineStr">
        <is>
          <t>30-59</t>
        </is>
      </c>
      <c r="E137" t="n">
        <v>30</v>
      </c>
      <c r="F137" t="n">
        <v>8</v>
      </c>
      <c r="G137" t="n">
        <v>21648.47</v>
      </c>
      <c r="H137">
        <f>IFERROR(VLOOKUP(C137,Lookups!$A$3:$C$7,3,FALSE),"UNMAPPED")</f>
        <v/>
      </c>
    </row>
    <row r="138">
      <c r="A138" s="5" t="n">
        <v>45626</v>
      </c>
      <c r="B138" t="inlineStr">
        <is>
          <t>PL</t>
        </is>
      </c>
      <c r="C138" t="inlineStr">
        <is>
          <t>CC_CLASSIC</t>
        </is>
      </c>
      <c r="D138" t="inlineStr">
        <is>
          <t>60-89</t>
        </is>
      </c>
      <c r="E138" t="n">
        <v>60</v>
      </c>
      <c r="F138" t="n">
        <v>3</v>
      </c>
      <c r="G138" t="n">
        <v>17517.99</v>
      </c>
      <c r="H138">
        <f>IFERROR(VLOOKUP(C138,Lookups!$A$3:$C$7,3,FALSE),"UNMAPPED")</f>
        <v/>
      </c>
    </row>
    <row r="139">
      <c r="A139" s="5" t="n">
        <v>45626</v>
      </c>
      <c r="B139" t="inlineStr">
        <is>
          <t>PL</t>
        </is>
      </c>
      <c r="C139" t="inlineStr">
        <is>
          <t>CC_CLASSIC</t>
        </is>
      </c>
      <c r="D139" t="inlineStr">
        <is>
          <t>90-179</t>
        </is>
      </c>
      <c r="E139" t="n">
        <v>90</v>
      </c>
      <c r="F139" t="n">
        <v>15</v>
      </c>
      <c r="G139" t="n">
        <v>47301.65</v>
      </c>
      <c r="H139">
        <f>IFERROR(VLOOKUP(C139,Lookups!$A$3:$C$7,3,FALSE),"UNMAPPED")</f>
        <v/>
      </c>
    </row>
    <row r="140">
      <c r="A140" s="5" t="n">
        <v>45626</v>
      </c>
      <c r="B140" t="inlineStr">
        <is>
          <t>PL</t>
        </is>
      </c>
      <c r="C140" t="inlineStr">
        <is>
          <t>CC_GOLD</t>
        </is>
      </c>
      <c r="D140" t="inlineStr">
        <is>
          <t>Current</t>
        </is>
      </c>
      <c r="E140" t="n">
        <v>0</v>
      </c>
      <c r="F140" t="n">
        <v>338</v>
      </c>
      <c r="G140" t="n">
        <v>3213428.58</v>
      </c>
      <c r="H140">
        <f>IFERROR(VLOOKUP(C140,Lookups!$A$3:$C$7,3,FALSE),"UNMAPPED")</f>
        <v/>
      </c>
    </row>
    <row r="141">
      <c r="A141" s="5" t="n">
        <v>45626</v>
      </c>
      <c r="B141" t="inlineStr">
        <is>
          <t>PL</t>
        </is>
      </c>
      <c r="C141" t="inlineStr">
        <is>
          <t>CC_GOLD</t>
        </is>
      </c>
      <c r="D141" t="inlineStr">
        <is>
          <t>1-29</t>
        </is>
      </c>
      <c r="E141" t="n">
        <v>1</v>
      </c>
      <c r="F141" t="n">
        <v>4</v>
      </c>
      <c r="G141" t="n">
        <v>52737.09</v>
      </c>
      <c r="H141">
        <f>IFERROR(VLOOKUP(C141,Lookups!$A$3:$C$7,3,FALSE),"UNMAPPED")</f>
        <v/>
      </c>
    </row>
    <row r="142">
      <c r="A142" s="5" t="n">
        <v>45626</v>
      </c>
      <c r="B142" t="inlineStr">
        <is>
          <t>PL</t>
        </is>
      </c>
      <c r="C142" t="inlineStr">
        <is>
          <t>CC_GOLD</t>
        </is>
      </c>
      <c r="D142" t="inlineStr">
        <is>
          <t>30-59</t>
        </is>
      </c>
      <c r="E142" t="n">
        <v>30</v>
      </c>
      <c r="F142" t="n">
        <v>6</v>
      </c>
      <c r="G142" t="n">
        <v>61099.57</v>
      </c>
      <c r="H142">
        <f>IFERROR(VLOOKUP(C142,Lookups!$A$3:$C$7,3,FALSE),"UNMAPPED")</f>
        <v/>
      </c>
    </row>
    <row r="143">
      <c r="A143" s="5" t="n">
        <v>45626</v>
      </c>
      <c r="B143" t="inlineStr">
        <is>
          <t>PL</t>
        </is>
      </c>
      <c r="C143" t="inlineStr">
        <is>
          <t>CC_GOLD</t>
        </is>
      </c>
      <c r="D143" t="inlineStr">
        <is>
          <t>60-89</t>
        </is>
      </c>
      <c r="E143" t="n">
        <v>60</v>
      </c>
      <c r="F143" t="n">
        <v>6</v>
      </c>
      <c r="G143" t="n">
        <v>74588.84</v>
      </c>
      <c r="H143">
        <f>IFERROR(VLOOKUP(C143,Lookups!$A$3:$C$7,3,FALSE),"UNMAPPED")</f>
        <v/>
      </c>
    </row>
    <row r="144">
      <c r="A144" s="5" t="n">
        <v>45626</v>
      </c>
      <c r="B144" t="inlineStr">
        <is>
          <t>PL</t>
        </is>
      </c>
      <c r="C144" t="inlineStr">
        <is>
          <t>CC_GOLD</t>
        </is>
      </c>
      <c r="D144" t="inlineStr">
        <is>
          <t>90-179</t>
        </is>
      </c>
      <c r="E144" t="n">
        <v>90</v>
      </c>
      <c r="F144" t="n">
        <v>2</v>
      </c>
      <c r="G144" t="n">
        <v>25689.37</v>
      </c>
      <c r="H144">
        <f>IFERROR(VLOOKUP(C144,Lookups!$A$3:$C$7,3,FALSE),"UNMAPPED")</f>
        <v/>
      </c>
    </row>
    <row r="145">
      <c r="A145" s="5" t="n">
        <v>45626</v>
      </c>
      <c r="B145" t="inlineStr">
        <is>
          <t>PL</t>
        </is>
      </c>
      <c r="C145" t="inlineStr">
        <is>
          <t>PL_PREM</t>
        </is>
      </c>
      <c r="D145" t="inlineStr">
        <is>
          <t>Current</t>
        </is>
      </c>
      <c r="E145" t="n">
        <v>0</v>
      </c>
      <c r="F145" t="n">
        <v>352</v>
      </c>
      <c r="G145" t="n">
        <v>15955330.57</v>
      </c>
      <c r="H145">
        <f>IFERROR(VLOOKUP(C145,Lookups!$A$3:$C$7,3,FALSE),"UNMAPPED")</f>
        <v/>
      </c>
    </row>
    <row r="146">
      <c r="A146" s="5" t="n">
        <v>45626</v>
      </c>
      <c r="B146" t="inlineStr">
        <is>
          <t>PL</t>
        </is>
      </c>
      <c r="C146" t="inlineStr">
        <is>
          <t>PL_PREM</t>
        </is>
      </c>
      <c r="D146" t="inlineStr">
        <is>
          <t>1-29</t>
        </is>
      </c>
      <c r="E146" t="n">
        <v>1</v>
      </c>
      <c r="F146" t="n">
        <v>4</v>
      </c>
      <c r="G146" t="n">
        <v>166110.53</v>
      </c>
      <c r="H146">
        <f>IFERROR(VLOOKUP(C146,Lookups!$A$3:$C$7,3,FALSE),"UNMAPPED")</f>
        <v/>
      </c>
    </row>
    <row r="147">
      <c r="A147" s="5" t="n">
        <v>45626</v>
      </c>
      <c r="B147" t="inlineStr">
        <is>
          <t>PL</t>
        </is>
      </c>
      <c r="C147" t="inlineStr">
        <is>
          <t>PL_PREM</t>
        </is>
      </c>
      <c r="D147" t="inlineStr">
        <is>
          <t>30-59</t>
        </is>
      </c>
      <c r="E147" t="n">
        <v>30</v>
      </c>
      <c r="F147" t="n">
        <v>2</v>
      </c>
      <c r="G147" t="n">
        <v>78477.86</v>
      </c>
      <c r="H147">
        <f>IFERROR(VLOOKUP(C147,Lookups!$A$3:$C$7,3,FALSE),"UNMAPPED")</f>
        <v/>
      </c>
    </row>
    <row r="148">
      <c r="A148" s="5" t="n">
        <v>45626</v>
      </c>
      <c r="B148" t="inlineStr">
        <is>
          <t>PL</t>
        </is>
      </c>
      <c r="C148" t="inlineStr">
        <is>
          <t>PL_PREM</t>
        </is>
      </c>
      <c r="D148" t="inlineStr">
        <is>
          <t>60-89</t>
        </is>
      </c>
      <c r="E148" t="n">
        <v>60</v>
      </c>
      <c r="F148" t="n">
        <v>4</v>
      </c>
      <c r="G148" t="n">
        <v>262490.74</v>
      </c>
      <c r="H148">
        <f>IFERROR(VLOOKUP(C148,Lookups!$A$3:$C$7,3,FALSE),"UNMAPPED")</f>
        <v/>
      </c>
    </row>
    <row r="149">
      <c r="A149" s="5" t="n">
        <v>45626</v>
      </c>
      <c r="B149" t="inlineStr">
        <is>
          <t>PL</t>
        </is>
      </c>
      <c r="C149" t="inlineStr">
        <is>
          <t>PL_PREM</t>
        </is>
      </c>
      <c r="D149" t="inlineStr">
        <is>
          <t>90-179</t>
        </is>
      </c>
      <c r="E149" t="n">
        <v>90</v>
      </c>
      <c r="F149" t="n">
        <v>4</v>
      </c>
      <c r="G149" t="n">
        <v>193380.18</v>
      </c>
      <c r="H149">
        <f>IFERROR(VLOOKUP(C149,Lookups!$A$3:$C$7,3,FALSE),"UNMAPPED")</f>
        <v/>
      </c>
    </row>
    <row r="150">
      <c r="A150" s="5" t="n">
        <v>45626</v>
      </c>
      <c r="B150" t="inlineStr">
        <is>
          <t>PL</t>
        </is>
      </c>
      <c r="C150" t="inlineStr">
        <is>
          <t>PL_STD</t>
        </is>
      </c>
      <c r="D150" t="inlineStr">
        <is>
          <t>Current</t>
        </is>
      </c>
      <c r="E150" t="n">
        <v>0</v>
      </c>
      <c r="F150" t="n">
        <v>954</v>
      </c>
      <c r="G150" t="n">
        <v>12511532.57</v>
      </c>
      <c r="H150">
        <f>IFERROR(VLOOKUP(C150,Lookups!$A$3:$C$7,3,FALSE),"UNMAPPED")</f>
        <v/>
      </c>
    </row>
    <row r="151">
      <c r="A151" s="5" t="n">
        <v>45626</v>
      </c>
      <c r="B151" t="inlineStr">
        <is>
          <t>PL</t>
        </is>
      </c>
      <c r="C151" t="inlineStr">
        <is>
          <t>PL_STD</t>
        </is>
      </c>
      <c r="D151" t="inlineStr">
        <is>
          <t>1-29</t>
        </is>
      </c>
      <c r="E151" t="n">
        <v>1</v>
      </c>
      <c r="F151" t="n">
        <v>8</v>
      </c>
      <c r="G151" t="n">
        <v>90011.89999999999</v>
      </c>
      <c r="H151">
        <f>IFERROR(VLOOKUP(C151,Lookups!$A$3:$C$7,3,FALSE),"UNMAPPED")</f>
        <v/>
      </c>
    </row>
    <row r="152">
      <c r="A152" s="5" t="n">
        <v>45626</v>
      </c>
      <c r="B152" t="inlineStr">
        <is>
          <t>PL</t>
        </is>
      </c>
      <c r="C152" t="inlineStr">
        <is>
          <t>PL_STD</t>
        </is>
      </c>
      <c r="D152" t="inlineStr">
        <is>
          <t>30-59</t>
        </is>
      </c>
      <c r="E152" t="n">
        <v>30</v>
      </c>
      <c r="F152" t="n">
        <v>6</v>
      </c>
      <c r="G152" t="n">
        <v>61088.87</v>
      </c>
      <c r="H152">
        <f>IFERROR(VLOOKUP(C152,Lookups!$A$3:$C$7,3,FALSE),"UNMAPPED")</f>
        <v/>
      </c>
    </row>
    <row r="153">
      <c r="A153" s="5" t="n">
        <v>45626</v>
      </c>
      <c r="B153" t="inlineStr">
        <is>
          <t>PL</t>
        </is>
      </c>
      <c r="C153" t="inlineStr">
        <is>
          <t>PL_STD</t>
        </is>
      </c>
      <c r="D153" t="inlineStr">
        <is>
          <t>60-89</t>
        </is>
      </c>
      <c r="E153" t="n">
        <v>60</v>
      </c>
      <c r="F153" t="n">
        <v>4</v>
      </c>
      <c r="G153" t="n">
        <v>58412.31</v>
      </c>
      <c r="H153">
        <f>IFERROR(VLOOKUP(C153,Lookups!$A$3:$C$7,3,FALSE),"UNMAPPED")</f>
        <v/>
      </c>
    </row>
    <row r="154">
      <c r="A154" s="5" t="n">
        <v>45626</v>
      </c>
      <c r="B154" t="inlineStr">
        <is>
          <t>PL</t>
        </is>
      </c>
      <c r="C154" t="inlineStr">
        <is>
          <t>PL_STD</t>
        </is>
      </c>
      <c r="D154" t="inlineStr">
        <is>
          <t>90-179</t>
        </is>
      </c>
      <c r="E154" t="n">
        <v>90</v>
      </c>
      <c r="F154" t="n">
        <v>13</v>
      </c>
      <c r="G154" t="n">
        <v>260708.27</v>
      </c>
      <c r="H154">
        <f>IFERROR(VLOOKUP(C154,Lookups!$A$3:$C$7,3,FALSE),"UNMAPPED")</f>
        <v/>
      </c>
    </row>
    <row r="155">
      <c r="A155" s="5" t="n">
        <v>45626</v>
      </c>
      <c r="B155" t="inlineStr">
        <is>
          <t>RO</t>
        </is>
      </c>
      <c r="C155" t="inlineStr">
        <is>
          <t>CC_CLASSIC</t>
        </is>
      </c>
      <c r="D155" t="inlineStr">
        <is>
          <t>Current</t>
        </is>
      </c>
      <c r="E155" t="n">
        <v>0</v>
      </c>
      <c r="F155" t="n">
        <v>616</v>
      </c>
      <c r="G155" t="n">
        <v>1932125.1</v>
      </c>
      <c r="H155">
        <f>IFERROR(VLOOKUP(C155,Lookups!$A$3:$C$7,3,FALSE),"UNMAPPED")</f>
        <v/>
      </c>
    </row>
    <row r="156">
      <c r="A156" s="5" t="n">
        <v>45626</v>
      </c>
      <c r="B156" t="inlineStr">
        <is>
          <t>RO</t>
        </is>
      </c>
      <c r="C156" t="inlineStr">
        <is>
          <t>CC_CLASSIC</t>
        </is>
      </c>
      <c r="D156" t="inlineStr">
        <is>
          <t>1-29</t>
        </is>
      </c>
      <c r="E156" t="n">
        <v>1</v>
      </c>
      <c r="F156" t="n">
        <v>10</v>
      </c>
      <c r="G156" t="n">
        <v>34614.38</v>
      </c>
      <c r="H156">
        <f>IFERROR(VLOOKUP(C156,Lookups!$A$3:$C$7,3,FALSE),"UNMAPPED")</f>
        <v/>
      </c>
    </row>
    <row r="157">
      <c r="A157" s="5" t="n">
        <v>45626</v>
      </c>
      <c r="B157" t="inlineStr">
        <is>
          <t>RO</t>
        </is>
      </c>
      <c r="C157" t="inlineStr">
        <is>
          <t>CC_CLASSIC</t>
        </is>
      </c>
      <c r="D157" t="inlineStr">
        <is>
          <t>30-59</t>
        </is>
      </c>
      <c r="E157" t="n">
        <v>30</v>
      </c>
      <c r="F157" t="n">
        <v>1</v>
      </c>
      <c r="G157" t="n">
        <v>7934.4</v>
      </c>
      <c r="H157">
        <f>IFERROR(VLOOKUP(C157,Lookups!$A$3:$C$7,3,FALSE),"UNMAPPED")</f>
        <v/>
      </c>
    </row>
    <row r="158">
      <c r="A158" s="5" t="n">
        <v>45626</v>
      </c>
      <c r="B158" t="inlineStr">
        <is>
          <t>RO</t>
        </is>
      </c>
      <c r="C158" t="inlineStr">
        <is>
          <t>CC_CLASSIC</t>
        </is>
      </c>
      <c r="D158" t="inlineStr">
        <is>
          <t>60-89</t>
        </is>
      </c>
      <c r="E158" t="n">
        <v>60</v>
      </c>
      <c r="F158" t="n">
        <v>3</v>
      </c>
      <c r="G158" t="n">
        <v>6471.08</v>
      </c>
      <c r="H158">
        <f>IFERROR(VLOOKUP(C158,Lookups!$A$3:$C$7,3,FALSE),"UNMAPPED")</f>
        <v/>
      </c>
    </row>
    <row r="159">
      <c r="A159" s="5" t="n">
        <v>45626</v>
      </c>
      <c r="B159" t="inlineStr">
        <is>
          <t>RO</t>
        </is>
      </c>
      <c r="C159" t="inlineStr">
        <is>
          <t>CC_CLASSIC</t>
        </is>
      </c>
      <c r="D159" t="inlineStr">
        <is>
          <t>90-179</t>
        </is>
      </c>
      <c r="E159" t="n">
        <v>90</v>
      </c>
      <c r="F159" t="n">
        <v>6</v>
      </c>
      <c r="G159" t="n">
        <v>26826.38</v>
      </c>
      <c r="H159">
        <f>IFERROR(VLOOKUP(C159,Lookups!$A$3:$C$7,3,FALSE),"UNMAPPED")</f>
        <v/>
      </c>
    </row>
    <row r="160">
      <c r="A160" s="5" t="n">
        <v>45626</v>
      </c>
      <c r="B160" t="inlineStr">
        <is>
          <t>RO</t>
        </is>
      </c>
      <c r="C160" t="inlineStr">
        <is>
          <t>CC_GOLD</t>
        </is>
      </c>
      <c r="D160" t="inlineStr">
        <is>
          <t>Current</t>
        </is>
      </c>
      <c r="E160" t="n">
        <v>0</v>
      </c>
      <c r="F160" t="n">
        <v>168</v>
      </c>
      <c r="G160" t="n">
        <v>1926454.74</v>
      </c>
      <c r="H160">
        <f>IFERROR(VLOOKUP(C160,Lookups!$A$3:$C$7,3,FALSE),"UNMAPPED")</f>
        <v/>
      </c>
    </row>
    <row r="161">
      <c r="A161" s="5" t="n">
        <v>45626</v>
      </c>
      <c r="B161" t="inlineStr">
        <is>
          <t>RO</t>
        </is>
      </c>
      <c r="C161" t="inlineStr">
        <is>
          <t>CC_GOLD</t>
        </is>
      </c>
      <c r="D161" t="inlineStr">
        <is>
          <t>1-29</t>
        </is>
      </c>
      <c r="E161" t="n">
        <v>1</v>
      </c>
      <c r="F161" t="n">
        <v>1</v>
      </c>
      <c r="G161" t="n">
        <v>965.33</v>
      </c>
      <c r="H161">
        <f>IFERROR(VLOOKUP(C161,Lookups!$A$3:$C$7,3,FALSE),"UNMAPPED")</f>
        <v/>
      </c>
    </row>
    <row r="162">
      <c r="A162" s="5" t="n">
        <v>45626</v>
      </c>
      <c r="B162" t="inlineStr">
        <is>
          <t>RO</t>
        </is>
      </c>
      <c r="C162" t="inlineStr">
        <is>
          <t>CC_GOLD</t>
        </is>
      </c>
      <c r="D162" t="inlineStr">
        <is>
          <t>30-59</t>
        </is>
      </c>
      <c r="E162" t="n">
        <v>30</v>
      </c>
      <c r="F162" t="n">
        <v>2</v>
      </c>
      <c r="G162" t="n">
        <v>15230.97</v>
      </c>
      <c r="H162">
        <f>IFERROR(VLOOKUP(C162,Lookups!$A$3:$C$7,3,FALSE),"UNMAPPED")</f>
        <v/>
      </c>
    </row>
    <row r="163">
      <c r="A163" s="5" t="n">
        <v>45626</v>
      </c>
      <c r="B163" t="inlineStr">
        <is>
          <t>RO</t>
        </is>
      </c>
      <c r="C163" t="inlineStr">
        <is>
          <t>CC_GOLD</t>
        </is>
      </c>
      <c r="D163" t="inlineStr">
        <is>
          <t>90-179</t>
        </is>
      </c>
      <c r="E163" t="n">
        <v>90</v>
      </c>
      <c r="F163" t="n">
        <v>2</v>
      </c>
      <c r="G163" t="n">
        <v>17011.32</v>
      </c>
      <c r="H163">
        <f>IFERROR(VLOOKUP(C163,Lookups!$A$3:$C$7,3,FALSE),"UNMAPPED")</f>
        <v/>
      </c>
    </row>
    <row r="164">
      <c r="A164" s="5" t="n">
        <v>45626</v>
      </c>
      <c r="B164" t="inlineStr">
        <is>
          <t>RO</t>
        </is>
      </c>
      <c r="C164" t="inlineStr">
        <is>
          <t>PL_PREM</t>
        </is>
      </c>
      <c r="D164" t="inlineStr">
        <is>
          <t>Current</t>
        </is>
      </c>
      <c r="E164" t="n">
        <v>0</v>
      </c>
      <c r="F164" t="n">
        <v>246</v>
      </c>
      <c r="G164" t="n">
        <v>12945917.61</v>
      </c>
      <c r="H164">
        <f>IFERROR(VLOOKUP(C164,Lookups!$A$3:$C$7,3,FALSE),"UNMAPPED")</f>
        <v/>
      </c>
    </row>
    <row r="165">
      <c r="A165" s="5" t="n">
        <v>45626</v>
      </c>
      <c r="B165" t="inlineStr">
        <is>
          <t>RO</t>
        </is>
      </c>
      <c r="C165" t="inlineStr">
        <is>
          <t>PL_PREM</t>
        </is>
      </c>
      <c r="D165" t="inlineStr">
        <is>
          <t>1-29</t>
        </is>
      </c>
      <c r="E165" t="n">
        <v>1</v>
      </c>
      <c r="F165" t="n">
        <v>4</v>
      </c>
      <c r="G165" t="n">
        <v>272425.88</v>
      </c>
      <c r="H165">
        <f>IFERROR(VLOOKUP(C165,Lookups!$A$3:$C$7,3,FALSE),"UNMAPPED")</f>
        <v/>
      </c>
    </row>
    <row r="166">
      <c r="A166" s="5" t="n">
        <v>45626</v>
      </c>
      <c r="B166" t="inlineStr">
        <is>
          <t>RO</t>
        </is>
      </c>
      <c r="C166" t="inlineStr">
        <is>
          <t>PL_PREM</t>
        </is>
      </c>
      <c r="D166" t="inlineStr">
        <is>
          <t>60-89</t>
        </is>
      </c>
      <c r="E166" t="n">
        <v>60</v>
      </c>
      <c r="F166" t="n">
        <v>1</v>
      </c>
      <c r="G166" t="n">
        <v>75012.11</v>
      </c>
      <c r="H166">
        <f>IFERROR(VLOOKUP(C166,Lookups!$A$3:$C$7,3,FALSE),"UNMAPPED")</f>
        <v/>
      </c>
    </row>
    <row r="167">
      <c r="A167" s="5" t="n">
        <v>45626</v>
      </c>
      <c r="B167" t="inlineStr">
        <is>
          <t>RO</t>
        </is>
      </c>
      <c r="C167" t="inlineStr">
        <is>
          <t>PL_PREM</t>
        </is>
      </c>
      <c r="D167" t="inlineStr">
        <is>
          <t>90-179</t>
        </is>
      </c>
      <c r="E167" t="n">
        <v>90</v>
      </c>
      <c r="F167" t="n">
        <v>2</v>
      </c>
      <c r="G167" t="n">
        <v>107771.44</v>
      </c>
      <c r="H167">
        <f>IFERROR(VLOOKUP(C167,Lookups!$A$3:$C$7,3,FALSE),"UNMAPPED")</f>
        <v/>
      </c>
    </row>
    <row r="168">
      <c r="A168" s="5" t="n">
        <v>45626</v>
      </c>
      <c r="B168" t="inlineStr">
        <is>
          <t>RO</t>
        </is>
      </c>
      <c r="C168" t="inlineStr">
        <is>
          <t>PL_STD</t>
        </is>
      </c>
      <c r="D168" t="inlineStr">
        <is>
          <t>Current</t>
        </is>
      </c>
      <c r="E168" t="n">
        <v>0</v>
      </c>
      <c r="F168" t="n">
        <v>589</v>
      </c>
      <c r="G168" t="n">
        <v>9605769.789999999</v>
      </c>
      <c r="H168">
        <f>IFERROR(VLOOKUP(C168,Lookups!$A$3:$C$7,3,FALSE),"UNMAPPED")</f>
        <v/>
      </c>
    </row>
    <row r="169">
      <c r="A169" s="5" t="n">
        <v>45626</v>
      </c>
      <c r="B169" t="inlineStr">
        <is>
          <t>RO</t>
        </is>
      </c>
      <c r="C169" t="inlineStr">
        <is>
          <t>PL_STD</t>
        </is>
      </c>
      <c r="D169" t="inlineStr">
        <is>
          <t>1-29</t>
        </is>
      </c>
      <c r="E169" t="n">
        <v>1</v>
      </c>
      <c r="F169" t="n">
        <v>9</v>
      </c>
      <c r="G169" t="n">
        <v>155715.5</v>
      </c>
      <c r="H169">
        <f>IFERROR(VLOOKUP(C169,Lookups!$A$3:$C$7,3,FALSE),"UNMAPPED")</f>
        <v/>
      </c>
    </row>
    <row r="170">
      <c r="A170" s="5" t="n">
        <v>45626</v>
      </c>
      <c r="B170" t="inlineStr">
        <is>
          <t>RO</t>
        </is>
      </c>
      <c r="C170" t="inlineStr">
        <is>
          <t>PL_STD</t>
        </is>
      </c>
      <c r="D170" t="inlineStr">
        <is>
          <t>30-59</t>
        </is>
      </c>
      <c r="E170" t="n">
        <v>30</v>
      </c>
      <c r="F170" t="n">
        <v>3</v>
      </c>
      <c r="G170" t="n">
        <v>18538.47</v>
      </c>
      <c r="H170">
        <f>IFERROR(VLOOKUP(C170,Lookups!$A$3:$C$7,3,FALSE),"UNMAPPED")</f>
        <v/>
      </c>
    </row>
    <row r="171">
      <c r="A171" s="5" t="n">
        <v>45626</v>
      </c>
      <c r="B171" t="inlineStr">
        <is>
          <t>RO</t>
        </is>
      </c>
      <c r="C171" t="inlineStr">
        <is>
          <t>PL_STD</t>
        </is>
      </c>
      <c r="D171" t="inlineStr">
        <is>
          <t>60-89</t>
        </is>
      </c>
      <c r="E171" t="n">
        <v>60</v>
      </c>
      <c r="F171" t="n">
        <v>8</v>
      </c>
      <c r="G171" t="n">
        <v>144706.94</v>
      </c>
      <c r="H171">
        <f>IFERROR(VLOOKUP(C171,Lookups!$A$3:$C$7,3,FALSE),"UNMAPPED")</f>
        <v/>
      </c>
    </row>
    <row r="172">
      <c r="A172" s="5" t="n">
        <v>45626</v>
      </c>
      <c r="B172" t="inlineStr">
        <is>
          <t>RO</t>
        </is>
      </c>
      <c r="C172" t="inlineStr">
        <is>
          <t>PL_STD</t>
        </is>
      </c>
      <c r="D172" t="inlineStr">
        <is>
          <t>90-179</t>
        </is>
      </c>
      <c r="E172" t="n">
        <v>90</v>
      </c>
      <c r="F172" t="n">
        <v>5</v>
      </c>
      <c r="G172" t="n">
        <v>87776.46000000001</v>
      </c>
      <c r="H172">
        <f>IFERROR(VLOOKUP(C172,Lookups!$A$3:$C$7,3,FALSE),"UNMAPPED")</f>
        <v/>
      </c>
    </row>
    <row r="173">
      <c r="A173" s="5" t="n">
        <v>45657</v>
      </c>
      <c r="B173" t="inlineStr">
        <is>
          <t>CZ</t>
        </is>
      </c>
      <c r="C173" t="inlineStr">
        <is>
          <t>CC_CLASSIC</t>
        </is>
      </c>
      <c r="D173" t="inlineStr">
        <is>
          <t>Current</t>
        </is>
      </c>
      <c r="E173" t="n">
        <v>0</v>
      </c>
      <c r="F173" t="n">
        <v>903</v>
      </c>
      <c r="G173" t="n">
        <v>13838479.8</v>
      </c>
      <c r="H173">
        <f>IFERROR(VLOOKUP(C173,Lookups!$A$3:$C$7,3,FALSE),"UNMAPPED")</f>
        <v/>
      </c>
    </row>
    <row r="174">
      <c r="A174" s="5" t="n">
        <v>45657</v>
      </c>
      <c r="B174" t="inlineStr">
        <is>
          <t>CZ</t>
        </is>
      </c>
      <c r="C174" t="inlineStr">
        <is>
          <t>CC_CLASSIC</t>
        </is>
      </c>
      <c r="D174" t="inlineStr">
        <is>
          <t>1-29</t>
        </is>
      </c>
      <c r="E174" t="n">
        <v>1</v>
      </c>
      <c r="F174" t="n">
        <v>13</v>
      </c>
      <c r="G174" t="n">
        <v>281210.2</v>
      </c>
      <c r="H174">
        <f>IFERROR(VLOOKUP(C174,Lookups!$A$3:$C$7,3,FALSE),"UNMAPPED")</f>
        <v/>
      </c>
    </row>
    <row r="175">
      <c r="A175" s="5" t="n">
        <v>45657</v>
      </c>
      <c r="B175" t="inlineStr">
        <is>
          <t>CZ</t>
        </is>
      </c>
      <c r="C175" t="inlineStr">
        <is>
          <t>CC_CLASSIC</t>
        </is>
      </c>
      <c r="D175" t="inlineStr">
        <is>
          <t>30-59</t>
        </is>
      </c>
      <c r="E175" t="n">
        <v>30</v>
      </c>
      <c r="F175" t="n">
        <v>6</v>
      </c>
      <c r="G175" t="n">
        <v>187162.17</v>
      </c>
      <c r="H175">
        <f>IFERROR(VLOOKUP(C175,Lookups!$A$3:$C$7,3,FALSE),"UNMAPPED")</f>
        <v/>
      </c>
    </row>
    <row r="176">
      <c r="A176" s="5" t="n">
        <v>45657</v>
      </c>
      <c r="B176" t="inlineStr">
        <is>
          <t>CZ</t>
        </is>
      </c>
      <c r="C176" t="inlineStr">
        <is>
          <t>CC_CLASSIC</t>
        </is>
      </c>
      <c r="D176" t="inlineStr">
        <is>
          <t>60-89</t>
        </is>
      </c>
      <c r="E176" t="n">
        <v>60</v>
      </c>
      <c r="F176" t="n">
        <v>2</v>
      </c>
      <c r="G176" t="n">
        <v>41880.21</v>
      </c>
      <c r="H176">
        <f>IFERROR(VLOOKUP(C176,Lookups!$A$3:$C$7,3,FALSE),"UNMAPPED")</f>
        <v/>
      </c>
    </row>
    <row r="177">
      <c r="A177" s="5" t="n">
        <v>45657</v>
      </c>
      <c r="B177" t="inlineStr">
        <is>
          <t>CZ</t>
        </is>
      </c>
      <c r="C177" t="inlineStr">
        <is>
          <t>CC_CLASSIC</t>
        </is>
      </c>
      <c r="D177" t="inlineStr">
        <is>
          <t>90-179</t>
        </is>
      </c>
      <c r="E177" t="n">
        <v>90</v>
      </c>
      <c r="F177" t="n">
        <v>12</v>
      </c>
      <c r="G177" t="n">
        <v>186185.96</v>
      </c>
      <c r="H177">
        <f>IFERROR(VLOOKUP(C177,Lookups!$A$3:$C$7,3,FALSE),"UNMAPPED")</f>
        <v/>
      </c>
    </row>
    <row r="178">
      <c r="A178" s="5" t="n">
        <v>45657</v>
      </c>
      <c r="B178" t="inlineStr">
        <is>
          <t>CZ</t>
        </is>
      </c>
      <c r="C178" t="inlineStr">
        <is>
          <t>CC_GOLD</t>
        </is>
      </c>
      <c r="D178" t="inlineStr">
        <is>
          <t>Current</t>
        </is>
      </c>
      <c r="E178" t="n">
        <v>0</v>
      </c>
      <c r="F178" t="n">
        <v>256</v>
      </c>
      <c r="G178" t="n">
        <v>14505972.66</v>
      </c>
      <c r="H178">
        <f>IFERROR(VLOOKUP(C178,Lookups!$A$3:$C$7,3,FALSE),"UNMAPPED")</f>
        <v/>
      </c>
    </row>
    <row r="179">
      <c r="A179" s="5" t="n">
        <v>45657</v>
      </c>
      <c r="B179" t="inlineStr">
        <is>
          <t>CZ</t>
        </is>
      </c>
      <c r="C179" t="inlineStr">
        <is>
          <t>CC_GOLD</t>
        </is>
      </c>
      <c r="D179" t="inlineStr">
        <is>
          <t>1-29</t>
        </is>
      </c>
      <c r="E179" t="n">
        <v>1</v>
      </c>
      <c r="F179" t="n">
        <v>3</v>
      </c>
      <c r="G179" t="n">
        <v>161873.45</v>
      </c>
      <c r="H179">
        <f>IFERROR(VLOOKUP(C179,Lookups!$A$3:$C$7,3,FALSE),"UNMAPPED")</f>
        <v/>
      </c>
    </row>
    <row r="180">
      <c r="A180" s="5" t="n">
        <v>45657</v>
      </c>
      <c r="B180" t="inlineStr">
        <is>
          <t>CZ</t>
        </is>
      </c>
      <c r="C180" t="inlineStr">
        <is>
          <t>CC_GOLD</t>
        </is>
      </c>
      <c r="D180" t="inlineStr">
        <is>
          <t>30-59</t>
        </is>
      </c>
      <c r="E180" t="n">
        <v>30</v>
      </c>
      <c r="F180" t="n">
        <v>1</v>
      </c>
      <c r="G180" t="n">
        <v>56984.2</v>
      </c>
      <c r="H180">
        <f>IFERROR(VLOOKUP(C180,Lookups!$A$3:$C$7,3,FALSE),"UNMAPPED")</f>
        <v/>
      </c>
    </row>
    <row r="181">
      <c r="A181" s="5" t="n">
        <v>45657</v>
      </c>
      <c r="B181" t="inlineStr">
        <is>
          <t>CZ</t>
        </is>
      </c>
      <c r="C181" t="inlineStr">
        <is>
          <t>CC_GOLD</t>
        </is>
      </c>
      <c r="D181" t="inlineStr">
        <is>
          <t>90-179</t>
        </is>
      </c>
      <c r="E181" t="n">
        <v>90</v>
      </c>
      <c r="F181" t="n">
        <v>2</v>
      </c>
      <c r="G181" t="n">
        <v>203615.64</v>
      </c>
      <c r="H181">
        <f>IFERROR(VLOOKUP(C181,Lookups!$A$3:$C$7,3,FALSE),"UNMAPPED")</f>
        <v/>
      </c>
    </row>
    <row r="182">
      <c r="A182" s="5" t="n">
        <v>45657</v>
      </c>
      <c r="B182" t="inlineStr">
        <is>
          <t>CZ</t>
        </is>
      </c>
      <c r="C182" t="inlineStr">
        <is>
          <t>PL_PREM</t>
        </is>
      </c>
      <c r="D182" t="inlineStr">
        <is>
          <t>Current</t>
        </is>
      </c>
      <c r="E182" t="n">
        <v>0</v>
      </c>
      <c r="F182" t="n">
        <v>262</v>
      </c>
      <c r="G182" t="n">
        <v>65440002.58</v>
      </c>
      <c r="H182">
        <f>IFERROR(VLOOKUP(C182,Lookups!$A$3:$C$7,3,FALSE),"UNMAPPED")</f>
        <v/>
      </c>
    </row>
    <row r="183">
      <c r="A183" s="5" t="n">
        <v>45657</v>
      </c>
      <c r="B183" t="inlineStr">
        <is>
          <t>CZ</t>
        </is>
      </c>
      <c r="C183" t="inlineStr">
        <is>
          <t>PL_PREM</t>
        </is>
      </c>
      <c r="D183" t="inlineStr">
        <is>
          <t>1-29</t>
        </is>
      </c>
      <c r="E183" t="n">
        <v>1</v>
      </c>
      <c r="F183" t="n">
        <v>4</v>
      </c>
      <c r="G183" t="n">
        <v>1198215.53</v>
      </c>
      <c r="H183">
        <f>IFERROR(VLOOKUP(C183,Lookups!$A$3:$C$7,3,FALSE),"UNMAPPED")</f>
        <v/>
      </c>
    </row>
    <row r="184">
      <c r="A184" s="5" t="n">
        <v>45657</v>
      </c>
      <c r="B184" t="inlineStr">
        <is>
          <t>CZ</t>
        </is>
      </c>
      <c r="C184" t="inlineStr">
        <is>
          <t>PL_PREM</t>
        </is>
      </c>
      <c r="D184" t="inlineStr">
        <is>
          <t>30-59</t>
        </is>
      </c>
      <c r="E184" t="n">
        <v>30</v>
      </c>
      <c r="F184" t="n">
        <v>6</v>
      </c>
      <c r="G184" t="n">
        <v>1334099.2</v>
      </c>
      <c r="H184">
        <f>IFERROR(VLOOKUP(C184,Lookups!$A$3:$C$7,3,FALSE),"UNMAPPED")</f>
        <v/>
      </c>
    </row>
    <row r="185">
      <c r="A185" s="5" t="n">
        <v>45657</v>
      </c>
      <c r="B185" t="inlineStr">
        <is>
          <t>CZ</t>
        </is>
      </c>
      <c r="C185" t="inlineStr">
        <is>
          <t>PL_PREM</t>
        </is>
      </c>
      <c r="D185" t="inlineStr">
        <is>
          <t>60-89</t>
        </is>
      </c>
      <c r="E185" t="n">
        <v>60</v>
      </c>
      <c r="F185" t="n">
        <v>1</v>
      </c>
      <c r="G185" t="n">
        <v>232671.5</v>
      </c>
      <c r="H185">
        <f>IFERROR(VLOOKUP(C185,Lookups!$A$3:$C$7,3,FALSE),"UNMAPPED")</f>
        <v/>
      </c>
    </row>
    <row r="186">
      <c r="A186" s="5" t="n">
        <v>45657</v>
      </c>
      <c r="B186" t="inlineStr">
        <is>
          <t>CZ</t>
        </is>
      </c>
      <c r="C186" t="inlineStr">
        <is>
          <t>PL_PREM</t>
        </is>
      </c>
      <c r="D186" t="inlineStr">
        <is>
          <t>90-179</t>
        </is>
      </c>
      <c r="E186" t="n">
        <v>90</v>
      </c>
      <c r="F186" t="n">
        <v>7</v>
      </c>
      <c r="G186" t="n">
        <v>2175451.4</v>
      </c>
      <c r="H186">
        <f>IFERROR(VLOOKUP(C186,Lookups!$A$3:$C$7,3,FALSE),"UNMAPPED")</f>
        <v/>
      </c>
    </row>
    <row r="187">
      <c r="A187" s="5" t="n">
        <v>45657</v>
      </c>
      <c r="B187" t="inlineStr">
        <is>
          <t>CZ</t>
        </is>
      </c>
      <c r="C187" t="inlineStr">
        <is>
          <t>PL_STD</t>
        </is>
      </c>
      <c r="D187" t="inlineStr">
        <is>
          <t>Current</t>
        </is>
      </c>
      <c r="E187" t="n">
        <v>0</v>
      </c>
      <c r="F187" t="n">
        <v>739</v>
      </c>
      <c r="G187" t="n">
        <v>56839657.88</v>
      </c>
      <c r="H187">
        <f>IFERROR(VLOOKUP(C187,Lookups!$A$3:$C$7,3,FALSE),"UNMAPPED")</f>
        <v/>
      </c>
    </row>
    <row r="188">
      <c r="A188" s="5" t="n">
        <v>45657</v>
      </c>
      <c r="B188" t="inlineStr">
        <is>
          <t>CZ</t>
        </is>
      </c>
      <c r="C188" t="inlineStr">
        <is>
          <t>PL_STD</t>
        </is>
      </c>
      <c r="D188" t="inlineStr">
        <is>
          <t>1-29</t>
        </is>
      </c>
      <c r="E188" t="n">
        <v>1</v>
      </c>
      <c r="F188" t="n">
        <v>15</v>
      </c>
      <c r="G188" t="n">
        <v>1301467.73</v>
      </c>
      <c r="H188">
        <f>IFERROR(VLOOKUP(C188,Lookups!$A$3:$C$7,3,FALSE),"UNMAPPED")</f>
        <v/>
      </c>
    </row>
    <row r="189">
      <c r="A189" s="5" t="n">
        <v>45657</v>
      </c>
      <c r="B189" t="inlineStr">
        <is>
          <t>CZ</t>
        </is>
      </c>
      <c r="C189" t="inlineStr">
        <is>
          <t>PL_STD</t>
        </is>
      </c>
      <c r="D189" t="inlineStr">
        <is>
          <t>30-59</t>
        </is>
      </c>
      <c r="E189" t="n">
        <v>30</v>
      </c>
      <c r="F189" t="n">
        <v>4</v>
      </c>
      <c r="G189" t="n">
        <v>319409.03</v>
      </c>
      <c r="H189">
        <f>IFERROR(VLOOKUP(C189,Lookups!$A$3:$C$7,3,FALSE),"UNMAPPED")</f>
        <v/>
      </c>
    </row>
    <row r="190">
      <c r="A190" s="5" t="n">
        <v>45657</v>
      </c>
      <c r="B190" t="inlineStr">
        <is>
          <t>CZ</t>
        </is>
      </c>
      <c r="C190" t="inlineStr">
        <is>
          <t>PL_STD</t>
        </is>
      </c>
      <c r="D190" t="inlineStr">
        <is>
          <t>60-89</t>
        </is>
      </c>
      <c r="E190" t="n">
        <v>60</v>
      </c>
      <c r="F190" t="n">
        <v>3</v>
      </c>
      <c r="G190" t="n">
        <v>88661.5</v>
      </c>
      <c r="H190">
        <f>IFERROR(VLOOKUP(C190,Lookups!$A$3:$C$7,3,FALSE),"UNMAPPED")</f>
        <v/>
      </c>
    </row>
    <row r="191">
      <c r="A191" s="5" t="n">
        <v>45657</v>
      </c>
      <c r="B191" t="inlineStr">
        <is>
          <t>CZ</t>
        </is>
      </c>
      <c r="C191" t="inlineStr">
        <is>
          <t>PL_STD</t>
        </is>
      </c>
      <c r="D191" t="inlineStr">
        <is>
          <t>90-179</t>
        </is>
      </c>
      <c r="E191" t="n">
        <v>90</v>
      </c>
      <c r="F191" t="n">
        <v>6</v>
      </c>
      <c r="G191" t="n">
        <v>447754.95</v>
      </c>
      <c r="H191">
        <f>IFERROR(VLOOKUP(C191,Lookups!$A$3:$C$7,3,FALSE),"UNMAPPED")</f>
        <v/>
      </c>
    </row>
    <row r="192">
      <c r="A192" s="5" t="n">
        <v>45657</v>
      </c>
      <c r="B192" t="inlineStr">
        <is>
          <t>PL</t>
        </is>
      </c>
      <c r="C192" t="inlineStr">
        <is>
          <t>CC_CLASSIC</t>
        </is>
      </c>
      <c r="D192" t="inlineStr">
        <is>
          <t>Current</t>
        </is>
      </c>
      <c r="E192" t="n">
        <v>0</v>
      </c>
      <c r="F192" t="n">
        <v>1205</v>
      </c>
      <c r="G192" t="n">
        <v>3336246.43</v>
      </c>
      <c r="H192">
        <f>IFERROR(VLOOKUP(C192,Lookups!$A$3:$C$7,3,FALSE),"UNMAPPED")</f>
        <v/>
      </c>
    </row>
    <row r="193">
      <c r="A193" s="5" t="n">
        <v>45657</v>
      </c>
      <c r="B193" t="inlineStr">
        <is>
          <t>PL</t>
        </is>
      </c>
      <c r="C193" t="inlineStr">
        <is>
          <t>CC_CLASSIC</t>
        </is>
      </c>
      <c r="D193" t="inlineStr">
        <is>
          <t>1-29</t>
        </is>
      </c>
      <c r="E193" t="n">
        <v>1</v>
      </c>
      <c r="F193" t="n">
        <v>16</v>
      </c>
      <c r="G193" t="n">
        <v>46919.45</v>
      </c>
      <c r="H193">
        <f>IFERROR(VLOOKUP(C193,Lookups!$A$3:$C$7,3,FALSE),"UNMAPPED")</f>
        <v/>
      </c>
    </row>
    <row r="194">
      <c r="A194" s="5" t="n">
        <v>45657</v>
      </c>
      <c r="B194" t="inlineStr">
        <is>
          <t>PL</t>
        </is>
      </c>
      <c r="C194" t="inlineStr">
        <is>
          <t>CC_CLASSIC</t>
        </is>
      </c>
      <c r="D194" t="inlineStr">
        <is>
          <t>30-59</t>
        </is>
      </c>
      <c r="E194" t="n">
        <v>30</v>
      </c>
      <c r="F194" t="n">
        <v>14</v>
      </c>
      <c r="G194" t="n">
        <v>35087.09</v>
      </c>
      <c r="H194">
        <f>IFERROR(VLOOKUP(C194,Lookups!$A$3:$C$7,3,FALSE),"UNMAPPED")</f>
        <v/>
      </c>
    </row>
    <row r="195">
      <c r="A195" s="5" t="n">
        <v>45657</v>
      </c>
      <c r="B195" t="inlineStr">
        <is>
          <t>PL</t>
        </is>
      </c>
      <c r="C195" t="inlineStr">
        <is>
          <t>CC_CLASSIC</t>
        </is>
      </c>
      <c r="D195" t="inlineStr">
        <is>
          <t>60-89</t>
        </is>
      </c>
      <c r="E195" t="n">
        <v>60</v>
      </c>
      <c r="F195" t="n">
        <v>6</v>
      </c>
      <c r="G195" t="n">
        <v>18886.44</v>
      </c>
      <c r="H195">
        <f>IFERROR(VLOOKUP(C195,Lookups!$A$3:$C$7,3,FALSE),"UNMAPPED")</f>
        <v/>
      </c>
    </row>
    <row r="196">
      <c r="A196" s="5" t="n">
        <v>45657</v>
      </c>
      <c r="B196" t="inlineStr">
        <is>
          <t>PL</t>
        </is>
      </c>
      <c r="C196" t="inlineStr">
        <is>
          <t>CC_CLASSIC</t>
        </is>
      </c>
      <c r="D196" t="inlineStr">
        <is>
          <t>90-179</t>
        </is>
      </c>
      <c r="E196" t="n">
        <v>90</v>
      </c>
      <c r="F196" t="n">
        <v>10</v>
      </c>
      <c r="G196" t="n">
        <v>47134.06</v>
      </c>
      <c r="H196">
        <f>IFERROR(VLOOKUP(C196,Lookups!$A$3:$C$7,3,FALSE),"UNMAPPED")</f>
        <v/>
      </c>
    </row>
    <row r="197">
      <c r="A197" s="5" t="n">
        <v>45657</v>
      </c>
      <c r="B197" t="inlineStr">
        <is>
          <t>PL</t>
        </is>
      </c>
      <c r="C197" t="inlineStr">
        <is>
          <t>CC_GOLD</t>
        </is>
      </c>
      <c r="D197" t="inlineStr">
        <is>
          <t>Current</t>
        </is>
      </c>
      <c r="E197" t="n">
        <v>0</v>
      </c>
      <c r="F197" t="n">
        <v>369</v>
      </c>
      <c r="G197" t="n">
        <v>3509731.95</v>
      </c>
      <c r="H197">
        <f>IFERROR(VLOOKUP(C197,Lookups!$A$3:$C$7,3,FALSE),"UNMAPPED")</f>
        <v/>
      </c>
    </row>
    <row r="198">
      <c r="A198" s="5" t="n">
        <v>45657</v>
      </c>
      <c r="B198" t="inlineStr">
        <is>
          <t>PL</t>
        </is>
      </c>
      <c r="C198" t="inlineStr">
        <is>
          <t>CC_GOLD</t>
        </is>
      </c>
      <c r="D198" t="inlineStr">
        <is>
          <t>1-29</t>
        </is>
      </c>
      <c r="E198" t="n">
        <v>1</v>
      </c>
      <c r="F198" t="n">
        <v>3</v>
      </c>
      <c r="G198" t="n">
        <v>27387.93</v>
      </c>
      <c r="H198">
        <f>IFERROR(VLOOKUP(C198,Lookups!$A$3:$C$7,3,FALSE),"UNMAPPED")</f>
        <v/>
      </c>
    </row>
    <row r="199">
      <c r="A199" s="5" t="n">
        <v>45657</v>
      </c>
      <c r="B199" t="inlineStr">
        <is>
          <t>PL</t>
        </is>
      </c>
      <c r="C199" t="inlineStr">
        <is>
          <t>CC_GOLD</t>
        </is>
      </c>
      <c r="D199" t="inlineStr">
        <is>
          <t>30-59</t>
        </is>
      </c>
      <c r="E199" t="n">
        <v>30</v>
      </c>
      <c r="F199" t="n">
        <v>2</v>
      </c>
      <c r="G199" t="n">
        <v>29437.01</v>
      </c>
      <c r="H199">
        <f>IFERROR(VLOOKUP(C199,Lookups!$A$3:$C$7,3,FALSE),"UNMAPPED")</f>
        <v/>
      </c>
    </row>
    <row r="200">
      <c r="A200" s="5" t="n">
        <v>45657</v>
      </c>
      <c r="B200" t="inlineStr">
        <is>
          <t>PL</t>
        </is>
      </c>
      <c r="C200" t="inlineStr">
        <is>
          <t>CC_GOLD</t>
        </is>
      </c>
      <c r="D200" t="inlineStr">
        <is>
          <t>60-89</t>
        </is>
      </c>
      <c r="E200" t="n">
        <v>60</v>
      </c>
      <c r="F200" t="n">
        <v>5</v>
      </c>
      <c r="G200" t="n">
        <v>46778.41</v>
      </c>
      <c r="H200">
        <f>IFERROR(VLOOKUP(C200,Lookups!$A$3:$C$7,3,FALSE),"UNMAPPED")</f>
        <v/>
      </c>
    </row>
    <row r="201">
      <c r="A201" s="5" t="n">
        <v>45657</v>
      </c>
      <c r="B201" t="inlineStr">
        <is>
          <t>PL</t>
        </is>
      </c>
      <c r="C201" t="inlineStr">
        <is>
          <t>CC_GOLD</t>
        </is>
      </c>
      <c r="D201" t="inlineStr">
        <is>
          <t>90-179</t>
        </is>
      </c>
      <c r="E201" t="n">
        <v>90</v>
      </c>
      <c r="F201" t="n">
        <v>5</v>
      </c>
      <c r="G201" t="n">
        <v>52323.52</v>
      </c>
      <c r="H201">
        <f>IFERROR(VLOOKUP(C201,Lookups!$A$3:$C$7,3,FALSE),"UNMAPPED")</f>
        <v/>
      </c>
    </row>
    <row r="202">
      <c r="A202" s="5" t="n">
        <v>45657</v>
      </c>
      <c r="B202" t="inlineStr">
        <is>
          <t>PL</t>
        </is>
      </c>
      <c r="C202" t="inlineStr">
        <is>
          <t>PL_PREM</t>
        </is>
      </c>
      <c r="D202" t="inlineStr">
        <is>
          <t>Current</t>
        </is>
      </c>
      <c r="E202" t="n">
        <v>0</v>
      </c>
      <c r="F202" t="n">
        <v>377</v>
      </c>
      <c r="G202" t="n">
        <v>16918765.49</v>
      </c>
      <c r="H202">
        <f>IFERROR(VLOOKUP(C202,Lookups!$A$3:$C$7,3,FALSE),"UNMAPPED")</f>
        <v/>
      </c>
    </row>
    <row r="203">
      <c r="A203" s="5" t="n">
        <v>45657</v>
      </c>
      <c r="B203" t="inlineStr">
        <is>
          <t>PL</t>
        </is>
      </c>
      <c r="C203" t="inlineStr">
        <is>
          <t>PL_PREM</t>
        </is>
      </c>
      <c r="D203" t="inlineStr">
        <is>
          <t>1-29</t>
        </is>
      </c>
      <c r="E203" t="n">
        <v>1</v>
      </c>
      <c r="F203" t="n">
        <v>5</v>
      </c>
      <c r="G203" t="n">
        <v>201754.8</v>
      </c>
      <c r="H203">
        <f>IFERROR(VLOOKUP(C203,Lookups!$A$3:$C$7,3,FALSE),"UNMAPPED")</f>
        <v/>
      </c>
    </row>
    <row r="204">
      <c r="A204" s="5" t="n">
        <v>45657</v>
      </c>
      <c r="B204" t="inlineStr">
        <is>
          <t>PL</t>
        </is>
      </c>
      <c r="C204" t="inlineStr">
        <is>
          <t>PL_PREM</t>
        </is>
      </c>
      <c r="D204" t="inlineStr">
        <is>
          <t>30-59</t>
        </is>
      </c>
      <c r="E204" t="n">
        <v>30</v>
      </c>
      <c r="F204" t="n">
        <v>1</v>
      </c>
      <c r="G204" t="n">
        <v>63004.31</v>
      </c>
      <c r="H204">
        <f>IFERROR(VLOOKUP(C204,Lookups!$A$3:$C$7,3,FALSE),"UNMAPPED")</f>
        <v/>
      </c>
    </row>
    <row r="205">
      <c r="A205" s="5" t="n">
        <v>45657</v>
      </c>
      <c r="B205" t="inlineStr">
        <is>
          <t>PL</t>
        </is>
      </c>
      <c r="C205" t="inlineStr">
        <is>
          <t>PL_PREM</t>
        </is>
      </c>
      <c r="D205" t="inlineStr">
        <is>
          <t>60-89</t>
        </is>
      </c>
      <c r="E205" t="n">
        <v>60</v>
      </c>
      <c r="F205" t="n">
        <v>6</v>
      </c>
      <c r="G205" t="n">
        <v>335229.8</v>
      </c>
      <c r="H205">
        <f>IFERROR(VLOOKUP(C205,Lookups!$A$3:$C$7,3,FALSE),"UNMAPPED")</f>
        <v/>
      </c>
    </row>
    <row r="206">
      <c r="A206" s="5" t="n">
        <v>45657</v>
      </c>
      <c r="B206" t="inlineStr">
        <is>
          <t>PL</t>
        </is>
      </c>
      <c r="C206" t="inlineStr">
        <is>
          <t>PL_PREM</t>
        </is>
      </c>
      <c r="D206" t="inlineStr">
        <is>
          <t>90-179</t>
        </is>
      </c>
      <c r="E206" t="n">
        <v>90</v>
      </c>
      <c r="F206" t="n">
        <v>2</v>
      </c>
      <c r="G206" t="n">
        <v>80991.39</v>
      </c>
      <c r="H206">
        <f>IFERROR(VLOOKUP(C206,Lookups!$A$3:$C$7,3,FALSE),"UNMAPPED")</f>
        <v/>
      </c>
    </row>
    <row r="207">
      <c r="A207" s="5" t="n">
        <v>45657</v>
      </c>
      <c r="B207" t="inlineStr">
        <is>
          <t>PL</t>
        </is>
      </c>
      <c r="C207" t="inlineStr">
        <is>
          <t>PL_STD</t>
        </is>
      </c>
      <c r="D207" t="inlineStr">
        <is>
          <t>Current</t>
        </is>
      </c>
      <c r="E207" t="n">
        <v>0</v>
      </c>
      <c r="F207" t="n">
        <v>990</v>
      </c>
      <c r="G207" t="n">
        <v>12986360.61</v>
      </c>
      <c r="H207">
        <f>IFERROR(VLOOKUP(C207,Lookups!$A$3:$C$7,3,FALSE),"UNMAPPED")</f>
        <v/>
      </c>
    </row>
    <row r="208">
      <c r="A208" s="5" t="n">
        <v>45657</v>
      </c>
      <c r="B208" t="inlineStr">
        <is>
          <t>PL</t>
        </is>
      </c>
      <c r="C208" t="inlineStr">
        <is>
          <t>PL_STD</t>
        </is>
      </c>
      <c r="D208" t="inlineStr">
        <is>
          <t>1-29</t>
        </is>
      </c>
      <c r="E208" t="n">
        <v>1</v>
      </c>
      <c r="F208" t="n">
        <v>14</v>
      </c>
      <c r="G208" t="n">
        <v>143218.21</v>
      </c>
      <c r="H208">
        <f>IFERROR(VLOOKUP(C208,Lookups!$A$3:$C$7,3,FALSE),"UNMAPPED")</f>
        <v/>
      </c>
    </row>
    <row r="209">
      <c r="A209" s="5" t="n">
        <v>45657</v>
      </c>
      <c r="B209" t="inlineStr">
        <is>
          <t>PL</t>
        </is>
      </c>
      <c r="C209" t="inlineStr">
        <is>
          <t>PL_STD</t>
        </is>
      </c>
      <c r="D209" t="inlineStr">
        <is>
          <t>30-59</t>
        </is>
      </c>
      <c r="E209" t="n">
        <v>30</v>
      </c>
      <c r="F209" t="n">
        <v>4</v>
      </c>
      <c r="G209" t="n">
        <v>44335.88</v>
      </c>
      <c r="H209">
        <f>IFERROR(VLOOKUP(C209,Lookups!$A$3:$C$7,3,FALSE),"UNMAPPED")</f>
        <v/>
      </c>
    </row>
    <row r="210">
      <c r="A210" s="5" t="n">
        <v>45657</v>
      </c>
      <c r="B210" t="inlineStr">
        <is>
          <t>PL</t>
        </is>
      </c>
      <c r="C210" t="inlineStr">
        <is>
          <t>PL_STD</t>
        </is>
      </c>
      <c r="D210" t="inlineStr">
        <is>
          <t>60-89</t>
        </is>
      </c>
      <c r="E210" t="n">
        <v>60</v>
      </c>
      <c r="F210" t="n">
        <v>6</v>
      </c>
      <c r="G210" t="n">
        <v>61847.4</v>
      </c>
      <c r="H210">
        <f>IFERROR(VLOOKUP(C210,Lookups!$A$3:$C$7,3,FALSE),"UNMAPPED")</f>
        <v/>
      </c>
    </row>
    <row r="211">
      <c r="A211" s="5" t="n">
        <v>45657</v>
      </c>
      <c r="B211" t="inlineStr">
        <is>
          <t>PL</t>
        </is>
      </c>
      <c r="C211" t="inlineStr">
        <is>
          <t>PL_STD</t>
        </is>
      </c>
      <c r="D211" t="inlineStr">
        <is>
          <t>90-179</t>
        </is>
      </c>
      <c r="E211" t="n">
        <v>90</v>
      </c>
      <c r="F211" t="n">
        <v>13</v>
      </c>
      <c r="G211" t="n">
        <v>245661.99</v>
      </c>
      <c r="H211">
        <f>IFERROR(VLOOKUP(C211,Lookups!$A$3:$C$7,3,FALSE),"UNMAPPED")</f>
        <v/>
      </c>
    </row>
    <row r="212">
      <c r="A212" s="5" t="n">
        <v>45657</v>
      </c>
      <c r="B212" t="inlineStr">
        <is>
          <t>RO</t>
        </is>
      </c>
      <c r="C212" t="inlineStr">
        <is>
          <t>CC_CLASSIC</t>
        </is>
      </c>
      <c r="D212" t="inlineStr">
        <is>
          <t>Current</t>
        </is>
      </c>
      <c r="E212" t="n">
        <v>0</v>
      </c>
      <c r="F212" t="n">
        <v>654</v>
      </c>
      <c r="G212" t="n">
        <v>2004306.18</v>
      </c>
      <c r="H212">
        <f>IFERROR(VLOOKUP(C212,Lookups!$A$3:$C$7,3,FALSE),"UNMAPPED")</f>
        <v/>
      </c>
    </row>
    <row r="213">
      <c r="A213" s="5" t="n">
        <v>45657</v>
      </c>
      <c r="B213" t="inlineStr">
        <is>
          <t>RO</t>
        </is>
      </c>
      <c r="C213" t="inlineStr">
        <is>
          <t>CC_CLASSIC</t>
        </is>
      </c>
      <c r="D213" t="inlineStr">
        <is>
          <t>1-29</t>
        </is>
      </c>
      <c r="E213" t="n">
        <v>1</v>
      </c>
      <c r="F213" t="n">
        <v>14</v>
      </c>
      <c r="G213" t="n">
        <v>38592.77</v>
      </c>
      <c r="H213">
        <f>IFERROR(VLOOKUP(C213,Lookups!$A$3:$C$7,3,FALSE),"UNMAPPED")</f>
        <v/>
      </c>
    </row>
    <row r="214">
      <c r="A214" s="5" t="n">
        <v>45657</v>
      </c>
      <c r="B214" t="inlineStr">
        <is>
          <t>RO</t>
        </is>
      </c>
      <c r="C214" t="inlineStr">
        <is>
          <t>CC_CLASSIC</t>
        </is>
      </c>
      <c r="D214" t="inlineStr">
        <is>
          <t>30-59</t>
        </is>
      </c>
      <c r="E214" t="n">
        <v>30</v>
      </c>
      <c r="F214" t="n">
        <v>6</v>
      </c>
      <c r="G214" t="n">
        <v>19695.07</v>
      </c>
      <c r="H214">
        <f>IFERROR(VLOOKUP(C214,Lookups!$A$3:$C$7,3,FALSE),"UNMAPPED")</f>
        <v/>
      </c>
    </row>
    <row r="215">
      <c r="A215" s="5" t="n">
        <v>45657</v>
      </c>
      <c r="B215" t="inlineStr">
        <is>
          <t>RO</t>
        </is>
      </c>
      <c r="C215" t="inlineStr">
        <is>
          <t>CC_CLASSIC</t>
        </is>
      </c>
      <c r="D215" t="inlineStr">
        <is>
          <t>60-89</t>
        </is>
      </c>
      <c r="E215" t="n">
        <v>60</v>
      </c>
      <c r="F215" t="n">
        <v>1</v>
      </c>
      <c r="G215" t="n">
        <v>8085.81</v>
      </c>
      <c r="H215">
        <f>IFERROR(VLOOKUP(C215,Lookups!$A$3:$C$7,3,FALSE),"UNMAPPED")</f>
        <v/>
      </c>
    </row>
    <row r="216">
      <c r="A216" s="5" t="n">
        <v>45657</v>
      </c>
      <c r="B216" t="inlineStr">
        <is>
          <t>RO</t>
        </is>
      </c>
      <c r="C216" t="inlineStr">
        <is>
          <t>CC_CLASSIC</t>
        </is>
      </c>
      <c r="D216" t="inlineStr">
        <is>
          <t>90-179</t>
        </is>
      </c>
      <c r="E216" t="n">
        <v>90</v>
      </c>
      <c r="F216" t="n">
        <v>8</v>
      </c>
      <c r="G216" t="n">
        <v>32133.91</v>
      </c>
      <c r="H216">
        <f>IFERROR(VLOOKUP(C216,Lookups!$A$3:$C$7,3,FALSE),"UNMAPPED")</f>
        <v/>
      </c>
    </row>
    <row r="217">
      <c r="A217" s="5" t="n">
        <v>45657</v>
      </c>
      <c r="B217" t="inlineStr">
        <is>
          <t>RO</t>
        </is>
      </c>
      <c r="C217" t="inlineStr">
        <is>
          <t>CC_GOLD</t>
        </is>
      </c>
      <c r="D217" t="inlineStr">
        <is>
          <t>Current</t>
        </is>
      </c>
      <c r="E217" t="n">
        <v>0</v>
      </c>
      <c r="F217" t="n">
        <v>178</v>
      </c>
      <c r="G217" t="n">
        <v>2030094.72</v>
      </c>
      <c r="H217">
        <f>IFERROR(VLOOKUP(C217,Lookups!$A$3:$C$7,3,FALSE),"UNMAPPED")</f>
        <v/>
      </c>
    </row>
    <row r="218">
      <c r="A218" s="5" t="n">
        <v>45657</v>
      </c>
      <c r="B218" t="inlineStr">
        <is>
          <t>RO</t>
        </is>
      </c>
      <c r="C218" t="inlineStr">
        <is>
          <t>CC_GOLD</t>
        </is>
      </c>
      <c r="D218" t="inlineStr">
        <is>
          <t>1-29</t>
        </is>
      </c>
      <c r="E218" t="n">
        <v>1</v>
      </c>
      <c r="F218" t="n">
        <v>4</v>
      </c>
      <c r="G218" t="n">
        <v>38048.44</v>
      </c>
      <c r="H218">
        <f>IFERROR(VLOOKUP(C218,Lookups!$A$3:$C$7,3,FALSE),"UNMAPPED")</f>
        <v/>
      </c>
    </row>
    <row r="219">
      <c r="A219" s="5" t="n">
        <v>45657</v>
      </c>
      <c r="B219" t="inlineStr">
        <is>
          <t>RO</t>
        </is>
      </c>
      <c r="C219" t="inlineStr">
        <is>
          <t>CC_GOLD</t>
        </is>
      </c>
      <c r="D219" t="inlineStr">
        <is>
          <t>30-59</t>
        </is>
      </c>
      <c r="E219" t="n">
        <v>30</v>
      </c>
      <c r="F219" t="n">
        <v>1</v>
      </c>
      <c r="G219" t="n">
        <v>981.34</v>
      </c>
      <c r="H219">
        <f>IFERROR(VLOOKUP(C219,Lookups!$A$3:$C$7,3,FALSE),"UNMAPPED")</f>
        <v/>
      </c>
    </row>
    <row r="220">
      <c r="A220" s="5" t="n">
        <v>45657</v>
      </c>
      <c r="B220" t="inlineStr">
        <is>
          <t>RO</t>
        </is>
      </c>
      <c r="C220" t="inlineStr">
        <is>
          <t>CC_GOLD</t>
        </is>
      </c>
      <c r="D220" t="inlineStr">
        <is>
          <t>60-89</t>
        </is>
      </c>
      <c r="E220" t="n">
        <v>60</v>
      </c>
      <c r="F220" t="n">
        <v>1</v>
      </c>
      <c r="G220" t="n">
        <v>14465.2</v>
      </c>
      <c r="H220">
        <f>IFERROR(VLOOKUP(C220,Lookups!$A$3:$C$7,3,FALSE),"UNMAPPED")</f>
        <v/>
      </c>
    </row>
    <row r="221">
      <c r="A221" s="5" t="n">
        <v>45657</v>
      </c>
      <c r="B221" t="inlineStr">
        <is>
          <t>RO</t>
        </is>
      </c>
      <c r="C221" t="inlineStr">
        <is>
          <t>PL_PREM</t>
        </is>
      </c>
      <c r="D221" t="inlineStr">
        <is>
          <t>Current</t>
        </is>
      </c>
      <c r="E221" t="n">
        <v>0</v>
      </c>
      <c r="F221" t="n">
        <v>250</v>
      </c>
      <c r="G221" t="n">
        <v>12931731.61</v>
      </c>
      <c r="H221">
        <f>IFERROR(VLOOKUP(C221,Lookups!$A$3:$C$7,3,FALSE),"UNMAPPED")</f>
        <v/>
      </c>
    </row>
    <row r="222">
      <c r="A222" s="5" t="n">
        <v>45657</v>
      </c>
      <c r="B222" t="inlineStr">
        <is>
          <t>RO</t>
        </is>
      </c>
      <c r="C222" t="inlineStr">
        <is>
          <t>PL_PREM</t>
        </is>
      </c>
      <c r="D222" t="inlineStr">
        <is>
          <t>1-29</t>
        </is>
      </c>
      <c r="E222" t="n">
        <v>1</v>
      </c>
      <c r="F222" t="n">
        <v>5</v>
      </c>
      <c r="G222" t="n">
        <v>286030.43</v>
      </c>
      <c r="H222">
        <f>IFERROR(VLOOKUP(C222,Lookups!$A$3:$C$7,3,FALSE),"UNMAPPED")</f>
        <v/>
      </c>
    </row>
    <row r="223">
      <c r="A223" s="5" t="n">
        <v>45657</v>
      </c>
      <c r="B223" t="inlineStr">
        <is>
          <t>RO</t>
        </is>
      </c>
      <c r="C223" t="inlineStr">
        <is>
          <t>PL_PREM</t>
        </is>
      </c>
      <c r="D223" t="inlineStr">
        <is>
          <t>30-59</t>
        </is>
      </c>
      <c r="E223" t="n">
        <v>30</v>
      </c>
      <c r="F223" t="n">
        <v>1</v>
      </c>
      <c r="G223" t="n">
        <v>93410.67999999999</v>
      </c>
      <c r="H223">
        <f>IFERROR(VLOOKUP(C223,Lookups!$A$3:$C$7,3,FALSE),"UNMAPPED")</f>
        <v/>
      </c>
    </row>
    <row r="224">
      <c r="A224" s="5" t="n">
        <v>45657</v>
      </c>
      <c r="B224" t="inlineStr">
        <is>
          <t>RO</t>
        </is>
      </c>
      <c r="C224" t="inlineStr">
        <is>
          <t>PL_PREM</t>
        </is>
      </c>
      <c r="D224" t="inlineStr">
        <is>
          <t>90-179</t>
        </is>
      </c>
      <c r="E224" t="n">
        <v>90</v>
      </c>
      <c r="F224" t="n">
        <v>3</v>
      </c>
      <c r="G224" t="n">
        <v>184291.52</v>
      </c>
      <c r="H224">
        <f>IFERROR(VLOOKUP(C224,Lookups!$A$3:$C$7,3,FALSE),"UNMAPPED")</f>
        <v/>
      </c>
    </row>
    <row r="225">
      <c r="A225" s="5" t="n">
        <v>45657</v>
      </c>
      <c r="B225" t="inlineStr">
        <is>
          <t>RO</t>
        </is>
      </c>
      <c r="C225" t="inlineStr">
        <is>
          <t>PL_STD</t>
        </is>
      </c>
      <c r="D225" t="inlineStr">
        <is>
          <t>Current</t>
        </is>
      </c>
      <c r="E225" t="n">
        <v>0</v>
      </c>
      <c r="F225" t="n">
        <v>622</v>
      </c>
      <c r="G225" t="n">
        <v>10234872.73</v>
      </c>
      <c r="H225">
        <f>IFERROR(VLOOKUP(C225,Lookups!$A$3:$C$7,3,FALSE),"UNMAPPED")</f>
        <v/>
      </c>
    </row>
    <row r="226">
      <c r="A226" s="5" t="n">
        <v>45657</v>
      </c>
      <c r="B226" t="inlineStr">
        <is>
          <t>RO</t>
        </is>
      </c>
      <c r="C226" t="inlineStr">
        <is>
          <t>PL_STD</t>
        </is>
      </c>
      <c r="D226" t="inlineStr">
        <is>
          <t>1-29</t>
        </is>
      </c>
      <c r="E226" t="n">
        <v>1</v>
      </c>
      <c r="F226" t="n">
        <v>10</v>
      </c>
      <c r="G226" t="n">
        <v>223033.43</v>
      </c>
      <c r="H226">
        <f>IFERROR(VLOOKUP(C226,Lookups!$A$3:$C$7,3,FALSE),"UNMAPPED")</f>
        <v/>
      </c>
    </row>
    <row r="227">
      <c r="A227" s="5" t="n">
        <v>45657</v>
      </c>
      <c r="B227" t="inlineStr">
        <is>
          <t>RO</t>
        </is>
      </c>
      <c r="C227" t="inlineStr">
        <is>
          <t>PL_STD</t>
        </is>
      </c>
      <c r="D227" t="inlineStr">
        <is>
          <t>30-59</t>
        </is>
      </c>
      <c r="E227" t="n">
        <v>30</v>
      </c>
      <c r="F227" t="n">
        <v>3</v>
      </c>
      <c r="G227" t="n">
        <v>61822.65</v>
      </c>
      <c r="H227">
        <f>IFERROR(VLOOKUP(C227,Lookups!$A$3:$C$7,3,FALSE),"UNMAPPED")</f>
        <v/>
      </c>
    </row>
    <row r="228">
      <c r="A228" s="5" t="n">
        <v>45657</v>
      </c>
      <c r="B228" t="inlineStr">
        <is>
          <t>RO</t>
        </is>
      </c>
      <c r="C228" t="inlineStr">
        <is>
          <t>PL_STD</t>
        </is>
      </c>
      <c r="D228" t="inlineStr">
        <is>
          <t>60-89</t>
        </is>
      </c>
      <c r="E228" t="n">
        <v>60</v>
      </c>
      <c r="F228" t="n">
        <v>3</v>
      </c>
      <c r="G228" t="n">
        <v>18768.66</v>
      </c>
      <c r="H228">
        <f>IFERROR(VLOOKUP(C228,Lookups!$A$3:$C$7,3,FALSE),"UNMAPPED")</f>
        <v/>
      </c>
    </row>
    <row r="229">
      <c r="A229" s="5" t="n">
        <v>45657</v>
      </c>
      <c r="B229" t="inlineStr">
        <is>
          <t>RO</t>
        </is>
      </c>
      <c r="C229" t="inlineStr">
        <is>
          <t>PL_STD</t>
        </is>
      </c>
      <c r="D229" t="inlineStr">
        <is>
          <t>90-179</t>
        </is>
      </c>
      <c r="E229" t="n">
        <v>90</v>
      </c>
      <c r="F229" t="n">
        <v>11</v>
      </c>
      <c r="G229" t="n">
        <v>222391.68</v>
      </c>
      <c r="H229">
        <f>IFERROR(VLOOKUP(C229,Lookups!$A$3:$C$7,3,FALSE),"UNMAPPED")</f>
        <v/>
      </c>
    </row>
    <row r="230">
      <c r="A230" s="5" t="n">
        <v>45688</v>
      </c>
      <c r="B230" t="inlineStr">
        <is>
          <t>CZ</t>
        </is>
      </c>
      <c r="C230" t="inlineStr">
        <is>
          <t>CC_CLASSIC</t>
        </is>
      </c>
      <c r="D230" t="inlineStr">
        <is>
          <t>Current</t>
        </is>
      </c>
      <c r="E230" t="n">
        <v>0</v>
      </c>
      <c r="F230" t="n">
        <v>944</v>
      </c>
      <c r="G230" t="n">
        <v>14727022.83</v>
      </c>
      <c r="H230">
        <f>IFERROR(VLOOKUP(C230,Lookups!$A$3:$C$7,3,FALSE),"UNMAPPED")</f>
        <v/>
      </c>
    </row>
    <row r="231">
      <c r="A231" s="5" t="n">
        <v>45688</v>
      </c>
      <c r="B231" t="inlineStr">
        <is>
          <t>CZ</t>
        </is>
      </c>
      <c r="C231" t="inlineStr">
        <is>
          <t>CC_CLASSIC</t>
        </is>
      </c>
      <c r="D231" t="inlineStr">
        <is>
          <t>1-29</t>
        </is>
      </c>
      <c r="E231" t="n">
        <v>1</v>
      </c>
      <c r="F231" t="n">
        <v>13</v>
      </c>
      <c r="G231" t="n">
        <v>235797.69</v>
      </c>
      <c r="H231">
        <f>IFERROR(VLOOKUP(C231,Lookups!$A$3:$C$7,3,FALSE),"UNMAPPED")</f>
        <v/>
      </c>
    </row>
    <row r="232">
      <c r="A232" s="5" t="n">
        <v>45688</v>
      </c>
      <c r="B232" t="inlineStr">
        <is>
          <t>CZ</t>
        </is>
      </c>
      <c r="C232" t="inlineStr">
        <is>
          <t>CC_CLASSIC</t>
        </is>
      </c>
      <c r="D232" t="inlineStr">
        <is>
          <t>30-59</t>
        </is>
      </c>
      <c r="E232" t="n">
        <v>30</v>
      </c>
      <c r="F232" t="n">
        <v>8</v>
      </c>
      <c r="G232" t="n">
        <v>139680.81</v>
      </c>
      <c r="H232">
        <f>IFERROR(VLOOKUP(C232,Lookups!$A$3:$C$7,3,FALSE),"UNMAPPED")</f>
        <v/>
      </c>
    </row>
    <row r="233">
      <c r="A233" s="5" t="n">
        <v>45688</v>
      </c>
      <c r="B233" t="inlineStr">
        <is>
          <t>CZ</t>
        </is>
      </c>
      <c r="C233" t="inlineStr">
        <is>
          <t>CC_CLASSIC</t>
        </is>
      </c>
      <c r="D233" t="inlineStr">
        <is>
          <t>60-89</t>
        </is>
      </c>
      <c r="E233" t="n">
        <v>60</v>
      </c>
      <c r="F233" t="n">
        <v>3</v>
      </c>
      <c r="G233" t="n">
        <v>119832.85</v>
      </c>
      <c r="H233">
        <f>IFERROR(VLOOKUP(C233,Lookups!$A$3:$C$7,3,FALSE),"UNMAPPED")</f>
        <v/>
      </c>
    </row>
    <row r="234">
      <c r="A234" s="5" t="n">
        <v>45688</v>
      </c>
      <c r="B234" t="inlineStr">
        <is>
          <t>CZ</t>
        </is>
      </c>
      <c r="C234" t="inlineStr">
        <is>
          <t>CC_CLASSIC</t>
        </is>
      </c>
      <c r="D234" t="inlineStr">
        <is>
          <t>90-179</t>
        </is>
      </c>
      <c r="E234" t="n">
        <v>90</v>
      </c>
      <c r="F234" t="n">
        <v>8</v>
      </c>
      <c r="G234" t="n">
        <v>94010.47</v>
      </c>
      <c r="H234">
        <f>IFERROR(VLOOKUP(C234,Lookups!$A$3:$C$7,3,FALSE),"UNMAPPED")</f>
        <v/>
      </c>
    </row>
    <row r="235">
      <c r="A235" s="5" t="n">
        <v>45688</v>
      </c>
      <c r="B235" t="inlineStr">
        <is>
          <t>CZ</t>
        </is>
      </c>
      <c r="C235" t="inlineStr">
        <is>
          <t>CC_GOLD</t>
        </is>
      </c>
      <c r="D235" t="inlineStr">
        <is>
          <t>Current</t>
        </is>
      </c>
      <c r="E235" t="n">
        <v>0</v>
      </c>
      <c r="F235" t="n">
        <v>264</v>
      </c>
      <c r="G235" t="n">
        <v>14510583.91</v>
      </c>
      <c r="H235">
        <f>IFERROR(VLOOKUP(C235,Lookups!$A$3:$C$7,3,FALSE),"UNMAPPED")</f>
        <v/>
      </c>
    </row>
    <row r="236">
      <c r="A236" s="5" t="n">
        <v>45688</v>
      </c>
      <c r="B236" t="inlineStr">
        <is>
          <t>CZ</t>
        </is>
      </c>
      <c r="C236" t="inlineStr">
        <is>
          <t>CC_GOLD</t>
        </is>
      </c>
      <c r="D236" t="inlineStr">
        <is>
          <t>1-29</t>
        </is>
      </c>
      <c r="E236" t="n">
        <v>1</v>
      </c>
      <c r="F236" t="n">
        <v>4</v>
      </c>
      <c r="G236" t="n">
        <v>244696.44</v>
      </c>
      <c r="H236">
        <f>IFERROR(VLOOKUP(C236,Lookups!$A$3:$C$7,3,FALSE),"UNMAPPED")</f>
        <v/>
      </c>
    </row>
    <row r="237">
      <c r="A237" s="5" t="n">
        <v>45688</v>
      </c>
      <c r="B237" t="inlineStr">
        <is>
          <t>CZ</t>
        </is>
      </c>
      <c r="C237" t="inlineStr">
        <is>
          <t>CC_GOLD</t>
        </is>
      </c>
      <c r="D237" t="inlineStr">
        <is>
          <t>30-59</t>
        </is>
      </c>
      <c r="E237" t="n">
        <v>30</v>
      </c>
      <c r="F237" t="n">
        <v>2</v>
      </c>
      <c r="G237" t="n">
        <v>101899.6</v>
      </c>
      <c r="H237">
        <f>IFERROR(VLOOKUP(C237,Lookups!$A$3:$C$7,3,FALSE),"UNMAPPED")</f>
        <v/>
      </c>
    </row>
    <row r="238">
      <c r="A238" s="5" t="n">
        <v>45688</v>
      </c>
      <c r="B238" t="inlineStr">
        <is>
          <t>CZ</t>
        </is>
      </c>
      <c r="C238" t="inlineStr">
        <is>
          <t>CC_GOLD</t>
        </is>
      </c>
      <c r="D238" t="inlineStr">
        <is>
          <t>60-89</t>
        </is>
      </c>
      <c r="E238" t="n">
        <v>60</v>
      </c>
      <c r="F238" t="n">
        <v>1</v>
      </c>
      <c r="G238" t="n">
        <v>57929.19</v>
      </c>
      <c r="H238">
        <f>IFERROR(VLOOKUP(C238,Lookups!$A$3:$C$7,3,FALSE),"UNMAPPED")</f>
        <v/>
      </c>
    </row>
    <row r="239">
      <c r="A239" s="5" t="n">
        <v>45688</v>
      </c>
      <c r="B239" t="inlineStr">
        <is>
          <t>CZ</t>
        </is>
      </c>
      <c r="C239" t="inlineStr">
        <is>
          <t>CC_GOLD</t>
        </is>
      </c>
      <c r="D239" t="inlineStr">
        <is>
          <t>90-179</t>
        </is>
      </c>
      <c r="E239" t="n">
        <v>90</v>
      </c>
      <c r="F239" t="n">
        <v>2</v>
      </c>
      <c r="G239" t="n">
        <v>206992.27</v>
      </c>
      <c r="H239">
        <f>IFERROR(VLOOKUP(C239,Lookups!$A$3:$C$7,3,FALSE),"UNMAPPED")</f>
        <v/>
      </c>
    </row>
    <row r="240">
      <c r="A240" s="5" t="n">
        <v>45688</v>
      </c>
      <c r="B240" t="inlineStr">
        <is>
          <t>CZ</t>
        </is>
      </c>
      <c r="C240" t="inlineStr">
        <is>
          <t>PL_PREM</t>
        </is>
      </c>
      <c r="D240" t="inlineStr">
        <is>
          <t>Current</t>
        </is>
      </c>
      <c r="E240" t="n">
        <v>0</v>
      </c>
      <c r="F240" t="n">
        <v>271</v>
      </c>
      <c r="G240" t="n">
        <v>65596256.15</v>
      </c>
      <c r="H240">
        <f>IFERROR(VLOOKUP(C240,Lookups!$A$3:$C$7,3,FALSE),"UNMAPPED")</f>
        <v/>
      </c>
    </row>
    <row r="241">
      <c r="A241" s="5" t="n">
        <v>45688</v>
      </c>
      <c r="B241" t="inlineStr">
        <is>
          <t>CZ</t>
        </is>
      </c>
      <c r="C241" t="inlineStr">
        <is>
          <t>PL_PREM</t>
        </is>
      </c>
      <c r="D241" t="inlineStr">
        <is>
          <t>1-29</t>
        </is>
      </c>
      <c r="E241" t="n">
        <v>1</v>
      </c>
      <c r="F241" t="n">
        <v>3</v>
      </c>
      <c r="G241" t="n">
        <v>875823.66</v>
      </c>
      <c r="H241">
        <f>IFERROR(VLOOKUP(C241,Lookups!$A$3:$C$7,3,FALSE),"UNMAPPED")</f>
        <v/>
      </c>
    </row>
    <row r="242">
      <c r="A242" s="5" t="n">
        <v>45688</v>
      </c>
      <c r="B242" t="inlineStr">
        <is>
          <t>CZ</t>
        </is>
      </c>
      <c r="C242" t="inlineStr">
        <is>
          <t>PL_PREM</t>
        </is>
      </c>
      <c r="D242" t="inlineStr">
        <is>
          <t>30-59</t>
        </is>
      </c>
      <c r="E242" t="n">
        <v>30</v>
      </c>
      <c r="F242" t="n">
        <v>3</v>
      </c>
      <c r="G242" t="n">
        <v>911338.55</v>
      </c>
      <c r="H242">
        <f>IFERROR(VLOOKUP(C242,Lookups!$A$3:$C$7,3,FALSE),"UNMAPPED")</f>
        <v/>
      </c>
    </row>
    <row r="243">
      <c r="A243" s="5" t="n">
        <v>45688</v>
      </c>
      <c r="B243" t="inlineStr">
        <is>
          <t>CZ</t>
        </is>
      </c>
      <c r="C243" t="inlineStr">
        <is>
          <t>PL_PREM</t>
        </is>
      </c>
      <c r="D243" t="inlineStr">
        <is>
          <t>60-89</t>
        </is>
      </c>
      <c r="E243" t="n">
        <v>60</v>
      </c>
      <c r="F243" t="n">
        <v>5</v>
      </c>
      <c r="G243" t="n">
        <v>1304097.42</v>
      </c>
      <c r="H243">
        <f>IFERROR(VLOOKUP(C243,Lookups!$A$3:$C$7,3,FALSE),"UNMAPPED")</f>
        <v/>
      </c>
    </row>
    <row r="244">
      <c r="A244" s="5" t="n">
        <v>45688</v>
      </c>
      <c r="B244" t="inlineStr">
        <is>
          <t>CZ</t>
        </is>
      </c>
      <c r="C244" t="inlineStr">
        <is>
          <t>PL_PREM</t>
        </is>
      </c>
      <c r="D244" t="inlineStr">
        <is>
          <t>90-179</t>
        </is>
      </c>
      <c r="E244" t="n">
        <v>90</v>
      </c>
      <c r="F244" t="n">
        <v>6</v>
      </c>
      <c r="G244" t="n">
        <v>1978820.95</v>
      </c>
      <c r="H244">
        <f>IFERROR(VLOOKUP(C244,Lookups!$A$3:$C$7,3,FALSE),"UNMAPPED")</f>
        <v/>
      </c>
    </row>
    <row r="245">
      <c r="A245" s="5" t="n">
        <v>45688</v>
      </c>
      <c r="B245" t="inlineStr">
        <is>
          <t>CZ</t>
        </is>
      </c>
      <c r="C245" t="inlineStr">
        <is>
          <t>PL_STD</t>
        </is>
      </c>
      <c r="D245" t="inlineStr">
        <is>
          <t>Current</t>
        </is>
      </c>
      <c r="E245" t="n">
        <v>0</v>
      </c>
      <c r="F245" t="n">
        <v>750</v>
      </c>
      <c r="G245" t="n">
        <v>56907162.68</v>
      </c>
      <c r="H245">
        <f>IFERROR(VLOOKUP(C245,Lookups!$A$3:$C$7,3,FALSE),"UNMAPPED")</f>
        <v/>
      </c>
    </row>
    <row r="246">
      <c r="A246" s="5" t="n">
        <v>45688</v>
      </c>
      <c r="B246" t="inlineStr">
        <is>
          <t>CZ</t>
        </is>
      </c>
      <c r="C246" t="inlineStr">
        <is>
          <t>PL_STD</t>
        </is>
      </c>
      <c r="D246" t="inlineStr">
        <is>
          <t>1-29</t>
        </is>
      </c>
      <c r="E246" t="n">
        <v>1</v>
      </c>
      <c r="F246" t="n">
        <v>15</v>
      </c>
      <c r="G246" t="n">
        <v>1119367.6</v>
      </c>
      <c r="H246">
        <f>IFERROR(VLOOKUP(C246,Lookups!$A$3:$C$7,3,FALSE),"UNMAPPED")</f>
        <v/>
      </c>
    </row>
    <row r="247">
      <c r="A247" s="5" t="n">
        <v>45688</v>
      </c>
      <c r="B247" t="inlineStr">
        <is>
          <t>CZ</t>
        </is>
      </c>
      <c r="C247" t="inlineStr">
        <is>
          <t>PL_STD</t>
        </is>
      </c>
      <c r="D247" t="inlineStr">
        <is>
          <t>30-59</t>
        </is>
      </c>
      <c r="E247" t="n">
        <v>30</v>
      </c>
      <c r="F247" t="n">
        <v>7</v>
      </c>
      <c r="G247" t="n">
        <v>662096.01</v>
      </c>
      <c r="H247">
        <f>IFERROR(VLOOKUP(C247,Lookups!$A$3:$C$7,3,FALSE),"UNMAPPED")</f>
        <v/>
      </c>
    </row>
    <row r="248">
      <c r="A248" s="5" t="n">
        <v>45688</v>
      </c>
      <c r="B248" t="inlineStr">
        <is>
          <t>CZ</t>
        </is>
      </c>
      <c r="C248" t="inlineStr">
        <is>
          <t>PL_STD</t>
        </is>
      </c>
      <c r="D248" t="inlineStr">
        <is>
          <t>60-89</t>
        </is>
      </c>
      <c r="E248" t="n">
        <v>60</v>
      </c>
      <c r="F248" t="n">
        <v>3</v>
      </c>
      <c r="G248" t="n">
        <v>124405.09</v>
      </c>
      <c r="H248">
        <f>IFERROR(VLOOKUP(C248,Lookups!$A$3:$C$7,3,FALSE),"UNMAPPED")</f>
        <v/>
      </c>
    </row>
    <row r="249">
      <c r="A249" s="5" t="n">
        <v>45688</v>
      </c>
      <c r="B249" t="inlineStr">
        <is>
          <t>CZ</t>
        </is>
      </c>
      <c r="C249" t="inlineStr">
        <is>
          <t>PL_STD</t>
        </is>
      </c>
      <c r="D249" t="inlineStr">
        <is>
          <t>90-179</t>
        </is>
      </c>
      <c r="E249" t="n">
        <v>90</v>
      </c>
      <c r="F249" t="n">
        <v>7</v>
      </c>
      <c r="G249" t="n">
        <v>444650.94</v>
      </c>
      <c r="H249">
        <f>IFERROR(VLOOKUP(C249,Lookups!$A$3:$C$7,3,FALSE),"UNMAPPED")</f>
        <v/>
      </c>
    </row>
    <row r="250">
      <c r="A250" s="5" t="n">
        <v>45688</v>
      </c>
      <c r="B250" t="inlineStr">
        <is>
          <t>PL</t>
        </is>
      </c>
      <c r="C250" t="inlineStr">
        <is>
          <t>CC_CLASSIC</t>
        </is>
      </c>
      <c r="D250" t="inlineStr">
        <is>
          <t>Current</t>
        </is>
      </c>
      <c r="E250" t="n">
        <v>0</v>
      </c>
      <c r="F250" t="n">
        <v>1261</v>
      </c>
      <c r="G250" t="n">
        <v>3434085.17</v>
      </c>
      <c r="H250">
        <f>IFERROR(VLOOKUP(C250,Lookups!$A$3:$C$7,3,FALSE),"UNMAPPED")</f>
        <v/>
      </c>
    </row>
    <row r="251">
      <c r="A251" s="5" t="n">
        <v>45688</v>
      </c>
      <c r="B251" t="inlineStr">
        <is>
          <t>PL</t>
        </is>
      </c>
      <c r="C251" t="inlineStr">
        <is>
          <t>CC_CLASSIC</t>
        </is>
      </c>
      <c r="D251" t="inlineStr">
        <is>
          <t>1-29</t>
        </is>
      </c>
      <c r="E251" t="n">
        <v>1</v>
      </c>
      <c r="F251" t="n">
        <v>18</v>
      </c>
      <c r="G251" t="n">
        <v>52121.92</v>
      </c>
      <c r="H251">
        <f>IFERROR(VLOOKUP(C251,Lookups!$A$3:$C$7,3,FALSE),"UNMAPPED")</f>
        <v/>
      </c>
    </row>
    <row r="252">
      <c r="A252" s="5" t="n">
        <v>45688</v>
      </c>
      <c r="B252" t="inlineStr">
        <is>
          <t>PL</t>
        </is>
      </c>
      <c r="C252" t="inlineStr">
        <is>
          <t>CC_CLASSIC</t>
        </is>
      </c>
      <c r="D252" t="inlineStr">
        <is>
          <t>30-59</t>
        </is>
      </c>
      <c r="E252" t="n">
        <v>30</v>
      </c>
      <c r="F252" t="n">
        <v>11</v>
      </c>
      <c r="G252" t="n">
        <v>35799.25</v>
      </c>
      <c r="H252">
        <f>IFERROR(VLOOKUP(C252,Lookups!$A$3:$C$7,3,FALSE),"UNMAPPED")</f>
        <v/>
      </c>
    </row>
    <row r="253">
      <c r="A253" s="5" t="n">
        <v>45688</v>
      </c>
      <c r="B253" t="inlineStr">
        <is>
          <t>PL</t>
        </is>
      </c>
      <c r="C253" t="inlineStr">
        <is>
          <t>CC_CLASSIC</t>
        </is>
      </c>
      <c r="D253" t="inlineStr">
        <is>
          <t>60-89</t>
        </is>
      </c>
      <c r="E253" t="n">
        <v>60</v>
      </c>
      <c r="F253" t="n">
        <v>11</v>
      </c>
      <c r="G253" t="n">
        <v>26672.65</v>
      </c>
      <c r="H253">
        <f>IFERROR(VLOOKUP(C253,Lookups!$A$3:$C$7,3,FALSE),"UNMAPPED")</f>
        <v/>
      </c>
    </row>
    <row r="254">
      <c r="A254" s="5" t="n">
        <v>45688</v>
      </c>
      <c r="B254" t="inlineStr">
        <is>
          <t>PL</t>
        </is>
      </c>
      <c r="C254" t="inlineStr">
        <is>
          <t>CC_CLASSIC</t>
        </is>
      </c>
      <c r="D254" t="inlineStr">
        <is>
          <t>90-179</t>
        </is>
      </c>
      <c r="E254" t="n">
        <v>90</v>
      </c>
      <c r="F254" t="n">
        <v>12</v>
      </c>
      <c r="G254" t="n">
        <v>52019.58</v>
      </c>
      <c r="H254">
        <f>IFERROR(VLOOKUP(C254,Lookups!$A$3:$C$7,3,FALSE),"UNMAPPED")</f>
        <v/>
      </c>
    </row>
    <row r="255">
      <c r="A255" s="5" t="n">
        <v>45688</v>
      </c>
      <c r="B255" t="inlineStr">
        <is>
          <t>PL</t>
        </is>
      </c>
      <c r="C255" t="inlineStr">
        <is>
          <t>CC_GOLD</t>
        </is>
      </c>
      <c r="D255" t="inlineStr">
        <is>
          <t>Current</t>
        </is>
      </c>
      <c r="E255" t="n">
        <v>0</v>
      </c>
      <c r="F255" t="n">
        <v>388</v>
      </c>
      <c r="G255" t="n">
        <v>3697928.32</v>
      </c>
      <c r="H255">
        <f>IFERROR(VLOOKUP(C255,Lookups!$A$3:$C$7,3,FALSE),"UNMAPPED")</f>
        <v/>
      </c>
    </row>
    <row r="256">
      <c r="A256" s="5" t="n">
        <v>45688</v>
      </c>
      <c r="B256" t="inlineStr">
        <is>
          <t>PL</t>
        </is>
      </c>
      <c r="C256" t="inlineStr">
        <is>
          <t>CC_GOLD</t>
        </is>
      </c>
      <c r="D256" t="inlineStr">
        <is>
          <t>1-29</t>
        </is>
      </c>
      <c r="E256" t="n">
        <v>1</v>
      </c>
      <c r="F256" t="n">
        <v>2</v>
      </c>
      <c r="G256" t="n">
        <v>32169.22</v>
      </c>
      <c r="H256">
        <f>IFERROR(VLOOKUP(C256,Lookups!$A$3:$C$7,3,FALSE),"UNMAPPED")</f>
        <v/>
      </c>
    </row>
    <row r="257">
      <c r="A257" s="5" t="n">
        <v>45688</v>
      </c>
      <c r="B257" t="inlineStr">
        <is>
          <t>PL</t>
        </is>
      </c>
      <c r="C257" t="inlineStr">
        <is>
          <t>CC_GOLD</t>
        </is>
      </c>
      <c r="D257" t="inlineStr">
        <is>
          <t>30-59</t>
        </is>
      </c>
      <c r="E257" t="n">
        <v>30</v>
      </c>
      <c r="F257" t="n">
        <v>2</v>
      </c>
      <c r="G257" t="n">
        <v>19581.36</v>
      </c>
      <c r="H257">
        <f>IFERROR(VLOOKUP(C257,Lookups!$A$3:$C$7,3,FALSE),"UNMAPPED")</f>
        <v/>
      </c>
    </row>
    <row r="258">
      <c r="A258" s="5" t="n">
        <v>45688</v>
      </c>
      <c r="B258" t="inlineStr">
        <is>
          <t>PL</t>
        </is>
      </c>
      <c r="C258" t="inlineStr">
        <is>
          <t>CC_GOLD</t>
        </is>
      </c>
      <c r="D258" t="inlineStr">
        <is>
          <t>60-89</t>
        </is>
      </c>
      <c r="E258" t="n">
        <v>60</v>
      </c>
      <c r="F258" t="n">
        <v>1</v>
      </c>
      <c r="G258" t="n">
        <v>8988.879999999999</v>
      </c>
      <c r="H258">
        <f>IFERROR(VLOOKUP(C258,Lookups!$A$3:$C$7,3,FALSE),"UNMAPPED")</f>
        <v/>
      </c>
    </row>
    <row r="259">
      <c r="A259" s="5" t="n">
        <v>45688</v>
      </c>
      <c r="B259" t="inlineStr">
        <is>
          <t>PL</t>
        </is>
      </c>
      <c r="C259" t="inlineStr">
        <is>
          <t>CC_GOLD</t>
        </is>
      </c>
      <c r="D259" t="inlineStr">
        <is>
          <t>90-179</t>
        </is>
      </c>
      <c r="E259" t="n">
        <v>90</v>
      </c>
      <c r="F259" t="n">
        <v>9</v>
      </c>
      <c r="G259" t="n">
        <v>92913.59</v>
      </c>
      <c r="H259">
        <f>IFERROR(VLOOKUP(C259,Lookups!$A$3:$C$7,3,FALSE),"UNMAPPED")</f>
        <v/>
      </c>
    </row>
    <row r="260">
      <c r="A260" s="5" t="n">
        <v>45688</v>
      </c>
      <c r="B260" t="inlineStr">
        <is>
          <t>PL</t>
        </is>
      </c>
      <c r="C260" t="inlineStr">
        <is>
          <t>PL_PREM</t>
        </is>
      </c>
      <c r="D260" t="inlineStr">
        <is>
          <t>Current</t>
        </is>
      </c>
      <c r="E260" t="n">
        <v>0</v>
      </c>
      <c r="F260" t="n">
        <v>390</v>
      </c>
      <c r="G260" t="n">
        <v>17010688.64</v>
      </c>
      <c r="H260">
        <f>IFERROR(VLOOKUP(C260,Lookups!$A$3:$C$7,3,FALSE),"UNMAPPED")</f>
        <v/>
      </c>
    </row>
    <row r="261">
      <c r="A261" s="5" t="n">
        <v>45688</v>
      </c>
      <c r="B261" t="inlineStr">
        <is>
          <t>PL</t>
        </is>
      </c>
      <c r="C261" t="inlineStr">
        <is>
          <t>PL_PREM</t>
        </is>
      </c>
      <c r="D261" t="inlineStr">
        <is>
          <t>1-29</t>
        </is>
      </c>
      <c r="E261" t="n">
        <v>1</v>
      </c>
      <c r="F261" t="n">
        <v>4</v>
      </c>
      <c r="G261" t="n">
        <v>234979.23</v>
      </c>
      <c r="H261">
        <f>IFERROR(VLOOKUP(C261,Lookups!$A$3:$C$7,3,FALSE),"UNMAPPED")</f>
        <v/>
      </c>
    </row>
    <row r="262">
      <c r="A262" s="5" t="n">
        <v>45688</v>
      </c>
      <c r="B262" t="inlineStr">
        <is>
          <t>PL</t>
        </is>
      </c>
      <c r="C262" t="inlineStr">
        <is>
          <t>PL_PREM</t>
        </is>
      </c>
      <c r="D262" t="inlineStr">
        <is>
          <t>30-59</t>
        </is>
      </c>
      <c r="E262" t="n">
        <v>30</v>
      </c>
      <c r="F262" t="n">
        <v>2</v>
      </c>
      <c r="G262" t="n">
        <v>68118.57000000001</v>
      </c>
      <c r="H262">
        <f>IFERROR(VLOOKUP(C262,Lookups!$A$3:$C$7,3,FALSE),"UNMAPPED")</f>
        <v/>
      </c>
    </row>
    <row r="263">
      <c r="A263" s="5" t="n">
        <v>45688</v>
      </c>
      <c r="B263" t="inlineStr">
        <is>
          <t>PL</t>
        </is>
      </c>
      <c r="C263" t="inlineStr">
        <is>
          <t>PL_PREM</t>
        </is>
      </c>
      <c r="D263" t="inlineStr">
        <is>
          <t>60-89</t>
        </is>
      </c>
      <c r="E263" t="n">
        <v>60</v>
      </c>
      <c r="F263" t="n">
        <v>5</v>
      </c>
      <c r="G263" t="n">
        <v>267379</v>
      </c>
      <c r="H263">
        <f>IFERROR(VLOOKUP(C263,Lookups!$A$3:$C$7,3,FALSE),"UNMAPPED")</f>
        <v/>
      </c>
    </row>
    <row r="264">
      <c r="A264" s="5" t="n">
        <v>45688</v>
      </c>
      <c r="B264" t="inlineStr">
        <is>
          <t>PL</t>
        </is>
      </c>
      <c r="C264" t="inlineStr">
        <is>
          <t>PL_PREM</t>
        </is>
      </c>
      <c r="D264" t="inlineStr">
        <is>
          <t>90-179</t>
        </is>
      </c>
      <c r="E264" t="n">
        <v>90</v>
      </c>
      <c r="F264" t="n">
        <v>2</v>
      </c>
      <c r="G264" t="n">
        <v>105043.08</v>
      </c>
      <c r="H264">
        <f>IFERROR(VLOOKUP(C264,Lookups!$A$3:$C$7,3,FALSE),"UNMAPPED")</f>
        <v/>
      </c>
    </row>
    <row r="265">
      <c r="A265" s="5" t="n">
        <v>45688</v>
      </c>
      <c r="B265" t="inlineStr">
        <is>
          <t>PL</t>
        </is>
      </c>
      <c r="C265" t="inlineStr">
        <is>
          <t>PL_STD</t>
        </is>
      </c>
      <c r="D265" t="inlineStr">
        <is>
          <t>Current</t>
        </is>
      </c>
      <c r="E265" t="n">
        <v>0</v>
      </c>
      <c r="F265" t="n">
        <v>1014</v>
      </c>
      <c r="G265" t="n">
        <v>12942467.5</v>
      </c>
      <c r="H265">
        <f>IFERROR(VLOOKUP(C265,Lookups!$A$3:$C$7,3,FALSE),"UNMAPPED")</f>
        <v/>
      </c>
    </row>
    <row r="266">
      <c r="A266" s="5" t="n">
        <v>45688</v>
      </c>
      <c r="B266" t="inlineStr">
        <is>
          <t>PL</t>
        </is>
      </c>
      <c r="C266" t="inlineStr">
        <is>
          <t>PL_STD</t>
        </is>
      </c>
      <c r="D266" t="inlineStr">
        <is>
          <t>1-29</t>
        </is>
      </c>
      <c r="E266" t="n">
        <v>1</v>
      </c>
      <c r="F266" t="n">
        <v>19</v>
      </c>
      <c r="G266" t="n">
        <v>295028.14</v>
      </c>
      <c r="H266">
        <f>IFERROR(VLOOKUP(C266,Lookups!$A$3:$C$7,3,FALSE),"UNMAPPED")</f>
        <v/>
      </c>
    </row>
    <row r="267">
      <c r="A267" s="5" t="n">
        <v>45688</v>
      </c>
      <c r="B267" t="inlineStr">
        <is>
          <t>PL</t>
        </is>
      </c>
      <c r="C267" t="inlineStr">
        <is>
          <t>PL_STD</t>
        </is>
      </c>
      <c r="D267" t="inlineStr">
        <is>
          <t>30-59</t>
        </is>
      </c>
      <c r="E267" t="n">
        <v>30</v>
      </c>
      <c r="F267" t="n">
        <v>2</v>
      </c>
      <c r="G267" t="n">
        <v>11916.9</v>
      </c>
      <c r="H267">
        <f>IFERROR(VLOOKUP(C267,Lookups!$A$3:$C$7,3,FALSE),"UNMAPPED")</f>
        <v/>
      </c>
    </row>
    <row r="268">
      <c r="A268" s="5" t="n">
        <v>45688</v>
      </c>
      <c r="B268" t="inlineStr">
        <is>
          <t>PL</t>
        </is>
      </c>
      <c r="C268" t="inlineStr">
        <is>
          <t>PL_STD</t>
        </is>
      </c>
      <c r="D268" t="inlineStr">
        <is>
          <t>90-179</t>
        </is>
      </c>
      <c r="E268" t="n">
        <v>90</v>
      </c>
      <c r="F268" t="n">
        <v>15</v>
      </c>
      <c r="G268" t="n">
        <v>221559.94</v>
      </c>
      <c r="H268">
        <f>IFERROR(VLOOKUP(C268,Lookups!$A$3:$C$7,3,FALSE),"UNMAPPED")</f>
        <v/>
      </c>
    </row>
    <row r="269">
      <c r="A269" s="5" t="n">
        <v>45688</v>
      </c>
      <c r="B269" t="inlineStr">
        <is>
          <t>RO</t>
        </is>
      </c>
      <c r="C269" t="inlineStr">
        <is>
          <t>CC_CLASSIC</t>
        </is>
      </c>
      <c r="D269" t="inlineStr">
        <is>
          <t>Current</t>
        </is>
      </c>
      <c r="E269" t="n">
        <v>0</v>
      </c>
      <c r="F269" t="n">
        <v>678</v>
      </c>
      <c r="G269" t="n">
        <v>2168753.94</v>
      </c>
      <c r="H269">
        <f>IFERROR(VLOOKUP(C269,Lookups!$A$3:$C$7,3,FALSE),"UNMAPPED")</f>
        <v/>
      </c>
    </row>
    <row r="270">
      <c r="A270" s="5" t="n">
        <v>45688</v>
      </c>
      <c r="B270" t="inlineStr">
        <is>
          <t>RO</t>
        </is>
      </c>
      <c r="C270" t="inlineStr">
        <is>
          <t>CC_CLASSIC</t>
        </is>
      </c>
      <c r="D270" t="inlineStr">
        <is>
          <t>1-29</t>
        </is>
      </c>
      <c r="E270" t="n">
        <v>1</v>
      </c>
      <c r="F270" t="n">
        <v>11</v>
      </c>
      <c r="G270" t="n">
        <v>46011.33</v>
      </c>
      <c r="H270">
        <f>IFERROR(VLOOKUP(C270,Lookups!$A$3:$C$7,3,FALSE),"UNMAPPED")</f>
        <v/>
      </c>
    </row>
    <row r="271">
      <c r="A271" s="5" t="n">
        <v>45688</v>
      </c>
      <c r="B271" t="inlineStr">
        <is>
          <t>RO</t>
        </is>
      </c>
      <c r="C271" t="inlineStr">
        <is>
          <t>CC_CLASSIC</t>
        </is>
      </c>
      <c r="D271" t="inlineStr">
        <is>
          <t>30-59</t>
        </is>
      </c>
      <c r="E271" t="n">
        <v>30</v>
      </c>
      <c r="F271" t="n">
        <v>8</v>
      </c>
      <c r="G271" t="n">
        <v>24028.48</v>
      </c>
      <c r="H271">
        <f>IFERROR(VLOOKUP(C271,Lookups!$A$3:$C$7,3,FALSE),"UNMAPPED")</f>
        <v/>
      </c>
    </row>
    <row r="272">
      <c r="A272" s="5" t="n">
        <v>45688</v>
      </c>
      <c r="B272" t="inlineStr">
        <is>
          <t>RO</t>
        </is>
      </c>
      <c r="C272" t="inlineStr">
        <is>
          <t>CC_CLASSIC</t>
        </is>
      </c>
      <c r="D272" t="inlineStr">
        <is>
          <t>60-89</t>
        </is>
      </c>
      <c r="E272" t="n">
        <v>60</v>
      </c>
      <c r="F272" t="n">
        <v>5</v>
      </c>
      <c r="G272" t="n">
        <v>16464.52</v>
      </c>
      <c r="H272">
        <f>IFERROR(VLOOKUP(C272,Lookups!$A$3:$C$7,3,FALSE),"UNMAPPED")</f>
        <v/>
      </c>
    </row>
    <row r="273">
      <c r="A273" s="5" t="n">
        <v>45688</v>
      </c>
      <c r="B273" t="inlineStr">
        <is>
          <t>RO</t>
        </is>
      </c>
      <c r="C273" t="inlineStr">
        <is>
          <t>CC_CLASSIC</t>
        </is>
      </c>
      <c r="D273" t="inlineStr">
        <is>
          <t>90-179</t>
        </is>
      </c>
      <c r="E273" t="n">
        <v>90</v>
      </c>
      <c r="F273" t="n">
        <v>9</v>
      </c>
      <c r="G273" t="n">
        <v>40987.26</v>
      </c>
      <c r="H273">
        <f>IFERROR(VLOOKUP(C273,Lookups!$A$3:$C$7,3,FALSE),"UNMAPPED")</f>
        <v/>
      </c>
    </row>
    <row r="274">
      <c r="A274" s="5" t="n">
        <v>45688</v>
      </c>
      <c r="B274" t="inlineStr">
        <is>
          <t>RO</t>
        </is>
      </c>
      <c r="C274" t="inlineStr">
        <is>
          <t>CC_GOLD</t>
        </is>
      </c>
      <c r="D274" t="inlineStr">
        <is>
          <t>Current</t>
        </is>
      </c>
      <c r="E274" t="n">
        <v>0</v>
      </c>
      <c r="F274" t="n">
        <v>182</v>
      </c>
      <c r="G274" t="n">
        <v>2134066.73</v>
      </c>
      <c r="H274">
        <f>IFERROR(VLOOKUP(C274,Lookups!$A$3:$C$7,3,FALSE),"UNMAPPED")</f>
        <v/>
      </c>
    </row>
    <row r="275">
      <c r="A275" s="5" t="n">
        <v>45688</v>
      </c>
      <c r="B275" t="inlineStr">
        <is>
          <t>RO</t>
        </is>
      </c>
      <c r="C275" t="inlineStr">
        <is>
          <t>CC_GOLD</t>
        </is>
      </c>
      <c r="D275" t="inlineStr">
        <is>
          <t>1-29</t>
        </is>
      </c>
      <c r="E275" t="n">
        <v>1</v>
      </c>
      <c r="F275" t="n">
        <v>4</v>
      </c>
      <c r="G275" t="n">
        <v>22556.17</v>
      </c>
      <c r="H275">
        <f>IFERROR(VLOOKUP(C275,Lookups!$A$3:$C$7,3,FALSE),"UNMAPPED")</f>
        <v/>
      </c>
    </row>
    <row r="276">
      <c r="A276" s="5" t="n">
        <v>45688</v>
      </c>
      <c r="B276" t="inlineStr">
        <is>
          <t>RO</t>
        </is>
      </c>
      <c r="C276" t="inlineStr">
        <is>
          <t>CC_GOLD</t>
        </is>
      </c>
      <c r="D276" t="inlineStr">
        <is>
          <t>30-59</t>
        </is>
      </c>
      <c r="E276" t="n">
        <v>30</v>
      </c>
      <c r="F276" t="n">
        <v>3</v>
      </c>
      <c r="G276" t="n">
        <v>27666.53</v>
      </c>
      <c r="H276">
        <f>IFERROR(VLOOKUP(C276,Lookups!$A$3:$C$7,3,FALSE),"UNMAPPED")</f>
        <v/>
      </c>
    </row>
    <row r="277">
      <c r="A277" s="5" t="n">
        <v>45688</v>
      </c>
      <c r="B277" t="inlineStr">
        <is>
          <t>RO</t>
        </is>
      </c>
      <c r="C277" t="inlineStr">
        <is>
          <t>CC_GOLD</t>
        </is>
      </c>
      <c r="D277" t="inlineStr">
        <is>
          <t>60-89</t>
        </is>
      </c>
      <c r="E277" t="n">
        <v>60</v>
      </c>
      <c r="F277" t="n">
        <v>1</v>
      </c>
      <c r="G277" t="n">
        <v>997.61</v>
      </c>
      <c r="H277">
        <f>IFERROR(VLOOKUP(C277,Lookups!$A$3:$C$7,3,FALSE),"UNMAPPED")</f>
        <v/>
      </c>
    </row>
    <row r="278">
      <c r="A278" s="5" t="n">
        <v>45688</v>
      </c>
      <c r="B278" t="inlineStr">
        <is>
          <t>RO</t>
        </is>
      </c>
      <c r="C278" t="inlineStr">
        <is>
          <t>CC_GOLD</t>
        </is>
      </c>
      <c r="D278" t="inlineStr">
        <is>
          <t>90-179</t>
        </is>
      </c>
      <c r="E278" t="n">
        <v>90</v>
      </c>
      <c r="F278" t="n">
        <v>1</v>
      </c>
      <c r="G278" t="n">
        <v>14705.08</v>
      </c>
      <c r="H278">
        <f>IFERROR(VLOOKUP(C278,Lookups!$A$3:$C$7,3,FALSE),"UNMAPPED")</f>
        <v/>
      </c>
    </row>
    <row r="279">
      <c r="A279" s="5" t="n">
        <v>45688</v>
      </c>
      <c r="B279" t="inlineStr">
        <is>
          <t>RO</t>
        </is>
      </c>
      <c r="C279" t="inlineStr">
        <is>
          <t>PL_PREM</t>
        </is>
      </c>
      <c r="D279" t="inlineStr">
        <is>
          <t>Current</t>
        </is>
      </c>
      <c r="E279" t="n">
        <v>0</v>
      </c>
      <c r="F279" t="n">
        <v>252</v>
      </c>
      <c r="G279" t="n">
        <v>12844075.55</v>
      </c>
      <c r="H279">
        <f>IFERROR(VLOOKUP(C279,Lookups!$A$3:$C$7,3,FALSE),"UNMAPPED")</f>
        <v/>
      </c>
    </row>
    <row r="280">
      <c r="A280" s="5" t="n">
        <v>45688</v>
      </c>
      <c r="B280" t="inlineStr">
        <is>
          <t>RO</t>
        </is>
      </c>
      <c r="C280" t="inlineStr">
        <is>
          <t>PL_PREM</t>
        </is>
      </c>
      <c r="D280" t="inlineStr">
        <is>
          <t>1-29</t>
        </is>
      </c>
      <c r="E280" t="n">
        <v>1</v>
      </c>
      <c r="F280" t="n">
        <v>4</v>
      </c>
      <c r="G280" t="n">
        <v>133049.79</v>
      </c>
      <c r="H280">
        <f>IFERROR(VLOOKUP(C280,Lookups!$A$3:$C$7,3,FALSE),"UNMAPPED")</f>
        <v/>
      </c>
    </row>
    <row r="281">
      <c r="A281" s="5" t="n">
        <v>45688</v>
      </c>
      <c r="B281" t="inlineStr">
        <is>
          <t>RO</t>
        </is>
      </c>
      <c r="C281" t="inlineStr">
        <is>
          <t>PL_PREM</t>
        </is>
      </c>
      <c r="D281" t="inlineStr">
        <is>
          <t>30-59</t>
        </is>
      </c>
      <c r="E281" t="n">
        <v>30</v>
      </c>
      <c r="F281" t="n">
        <v>2</v>
      </c>
      <c r="G281" t="n">
        <v>77159.98</v>
      </c>
      <c r="H281">
        <f>IFERROR(VLOOKUP(C281,Lookups!$A$3:$C$7,3,FALSE),"UNMAPPED")</f>
        <v/>
      </c>
    </row>
    <row r="282">
      <c r="A282" s="5" t="n">
        <v>45688</v>
      </c>
      <c r="B282" t="inlineStr">
        <is>
          <t>RO</t>
        </is>
      </c>
      <c r="C282" t="inlineStr">
        <is>
          <t>PL_PREM</t>
        </is>
      </c>
      <c r="D282" t="inlineStr">
        <is>
          <t>60-89</t>
        </is>
      </c>
      <c r="E282" t="n">
        <v>60</v>
      </c>
      <c r="F282" t="n">
        <v>1</v>
      </c>
      <c r="G282" t="n">
        <v>94181.32000000001</v>
      </c>
      <c r="H282">
        <f>IFERROR(VLOOKUP(C282,Lookups!$A$3:$C$7,3,FALSE),"UNMAPPED")</f>
        <v/>
      </c>
    </row>
    <row r="283">
      <c r="A283" s="5" t="n">
        <v>45688</v>
      </c>
      <c r="B283" t="inlineStr">
        <is>
          <t>RO</t>
        </is>
      </c>
      <c r="C283" t="inlineStr">
        <is>
          <t>PL_PREM</t>
        </is>
      </c>
      <c r="D283" t="inlineStr">
        <is>
          <t>90-179</t>
        </is>
      </c>
      <c r="E283" t="n">
        <v>90</v>
      </c>
      <c r="F283" t="n">
        <v>3</v>
      </c>
      <c r="G283" t="n">
        <v>185811.93</v>
      </c>
      <c r="H283">
        <f>IFERROR(VLOOKUP(C283,Lookups!$A$3:$C$7,3,FALSE),"UNMAPPED")</f>
        <v/>
      </c>
    </row>
    <row r="284">
      <c r="A284" s="5" t="n">
        <v>45688</v>
      </c>
      <c r="B284" t="inlineStr">
        <is>
          <t>RO</t>
        </is>
      </c>
      <c r="C284" t="inlineStr">
        <is>
          <t>PL_STD</t>
        </is>
      </c>
      <c r="D284" t="inlineStr">
        <is>
          <t>Current</t>
        </is>
      </c>
      <c r="E284" t="n">
        <v>0</v>
      </c>
      <c r="F284" t="n">
        <v>631</v>
      </c>
      <c r="G284" t="n">
        <v>10461106.84</v>
      </c>
      <c r="H284">
        <f>IFERROR(VLOOKUP(C284,Lookups!$A$3:$C$7,3,FALSE),"UNMAPPED")</f>
        <v/>
      </c>
    </row>
    <row r="285">
      <c r="A285" s="5" t="n">
        <v>45688</v>
      </c>
      <c r="B285" t="inlineStr">
        <is>
          <t>RO</t>
        </is>
      </c>
      <c r="C285" t="inlineStr">
        <is>
          <t>PL_STD</t>
        </is>
      </c>
      <c r="D285" t="inlineStr">
        <is>
          <t>1-29</t>
        </is>
      </c>
      <c r="E285" t="n">
        <v>1</v>
      </c>
      <c r="F285" t="n">
        <v>15</v>
      </c>
      <c r="G285" t="n">
        <v>152437.9</v>
      </c>
      <c r="H285">
        <f>IFERROR(VLOOKUP(C285,Lookups!$A$3:$C$7,3,FALSE),"UNMAPPED")</f>
        <v/>
      </c>
    </row>
    <row r="286">
      <c r="A286" s="5" t="n">
        <v>45688</v>
      </c>
      <c r="B286" t="inlineStr">
        <is>
          <t>RO</t>
        </is>
      </c>
      <c r="C286" t="inlineStr">
        <is>
          <t>PL_STD</t>
        </is>
      </c>
      <c r="D286" t="inlineStr">
        <is>
          <t>30-59</t>
        </is>
      </c>
      <c r="E286" t="n">
        <v>30</v>
      </c>
      <c r="F286" t="n">
        <v>7</v>
      </c>
      <c r="G286" t="n">
        <v>158096.69</v>
      </c>
      <c r="H286">
        <f>IFERROR(VLOOKUP(C286,Lookups!$A$3:$C$7,3,FALSE),"UNMAPPED")</f>
        <v/>
      </c>
    </row>
    <row r="287">
      <c r="A287" s="5" t="n">
        <v>45688</v>
      </c>
      <c r="B287" t="inlineStr">
        <is>
          <t>RO</t>
        </is>
      </c>
      <c r="C287" t="inlineStr">
        <is>
          <t>PL_STD</t>
        </is>
      </c>
      <c r="D287" t="inlineStr">
        <is>
          <t>60-89</t>
        </is>
      </c>
      <c r="E287" t="n">
        <v>60</v>
      </c>
      <c r="F287" t="n">
        <v>2</v>
      </c>
      <c r="G287" t="n">
        <v>59296.68</v>
      </c>
      <c r="H287">
        <f>IFERROR(VLOOKUP(C287,Lookups!$A$3:$C$7,3,FALSE),"UNMAPPED")</f>
        <v/>
      </c>
    </row>
    <row r="288">
      <c r="A288" s="5" t="n">
        <v>45688</v>
      </c>
      <c r="B288" t="inlineStr">
        <is>
          <t>RO</t>
        </is>
      </c>
      <c r="C288" t="inlineStr">
        <is>
          <t>PL_STD</t>
        </is>
      </c>
      <c r="D288" t="inlineStr">
        <is>
          <t>90-179</t>
        </is>
      </c>
      <c r="E288" t="n">
        <v>90</v>
      </c>
      <c r="F288" t="n">
        <v>12</v>
      </c>
      <c r="G288" t="n">
        <v>198035.73</v>
      </c>
      <c r="H288">
        <f>IFERROR(VLOOKUP(C288,Lookups!$A$3:$C$7,3,FALSE),"UNMAPPED")</f>
        <v/>
      </c>
    </row>
    <row r="289">
      <c r="A289" s="5" t="n">
        <v>45716</v>
      </c>
      <c r="B289" t="inlineStr">
        <is>
          <t>CZ</t>
        </is>
      </c>
      <c r="C289" t="inlineStr">
        <is>
          <t>CC_CLASSIC</t>
        </is>
      </c>
      <c r="D289" t="inlineStr">
        <is>
          <t>Current</t>
        </is>
      </c>
      <c r="E289" t="n">
        <v>0</v>
      </c>
      <c r="F289" t="n">
        <v>978</v>
      </c>
      <c r="G289" t="n">
        <v>15475054.66</v>
      </c>
      <c r="H289">
        <f>IFERROR(VLOOKUP(C289,Lookups!$A$3:$C$7,3,FALSE),"UNMAPPED")</f>
        <v/>
      </c>
    </row>
    <row r="290">
      <c r="A290" s="5" t="n">
        <v>45716</v>
      </c>
      <c r="B290" t="inlineStr">
        <is>
          <t>CZ</t>
        </is>
      </c>
      <c r="C290" t="inlineStr">
        <is>
          <t>CC_CLASSIC</t>
        </is>
      </c>
      <c r="D290" t="inlineStr">
        <is>
          <t>1-29</t>
        </is>
      </c>
      <c r="E290" t="n">
        <v>1</v>
      </c>
      <c r="F290" t="n">
        <v>12</v>
      </c>
      <c r="G290" t="n">
        <v>173756.71</v>
      </c>
      <c r="H290">
        <f>IFERROR(VLOOKUP(C290,Lookups!$A$3:$C$7,3,FALSE),"UNMAPPED")</f>
        <v/>
      </c>
    </row>
    <row r="291">
      <c r="A291" s="5" t="n">
        <v>45716</v>
      </c>
      <c r="B291" t="inlineStr">
        <is>
          <t>CZ</t>
        </is>
      </c>
      <c r="C291" t="inlineStr">
        <is>
          <t>CC_CLASSIC</t>
        </is>
      </c>
      <c r="D291" t="inlineStr">
        <is>
          <t>30-59</t>
        </is>
      </c>
      <c r="E291" t="n">
        <v>30</v>
      </c>
      <c r="F291" t="n">
        <v>9</v>
      </c>
      <c r="G291" t="n">
        <v>196095.92</v>
      </c>
      <c r="H291">
        <f>IFERROR(VLOOKUP(C291,Lookups!$A$3:$C$7,3,FALSE),"UNMAPPED")</f>
        <v/>
      </c>
    </row>
    <row r="292">
      <c r="A292" s="5" t="n">
        <v>45716</v>
      </c>
      <c r="B292" t="inlineStr">
        <is>
          <t>CZ</t>
        </is>
      </c>
      <c r="C292" t="inlineStr">
        <is>
          <t>CC_CLASSIC</t>
        </is>
      </c>
      <c r="D292" t="inlineStr">
        <is>
          <t>60-89</t>
        </is>
      </c>
      <c r="E292" t="n">
        <v>60</v>
      </c>
      <c r="F292" t="n">
        <v>7</v>
      </c>
      <c r="G292" t="n">
        <v>130083.59</v>
      </c>
      <c r="H292">
        <f>IFERROR(VLOOKUP(C292,Lookups!$A$3:$C$7,3,FALSE),"UNMAPPED")</f>
        <v/>
      </c>
    </row>
    <row r="293">
      <c r="A293" s="5" t="n">
        <v>45716</v>
      </c>
      <c r="B293" t="inlineStr">
        <is>
          <t>CZ</t>
        </is>
      </c>
      <c r="C293" t="inlineStr">
        <is>
          <t>CC_CLASSIC</t>
        </is>
      </c>
      <c r="D293" t="inlineStr">
        <is>
          <t>90-179</t>
        </is>
      </c>
      <c r="E293" t="n">
        <v>90</v>
      </c>
      <c r="F293" t="n">
        <v>8</v>
      </c>
      <c r="G293" t="n">
        <v>175298.11</v>
      </c>
      <c r="H293">
        <f>IFERROR(VLOOKUP(C293,Lookups!$A$3:$C$7,3,FALSE),"UNMAPPED")</f>
        <v/>
      </c>
    </row>
    <row r="294">
      <c r="A294" s="5" t="n">
        <v>45716</v>
      </c>
      <c r="B294" t="inlineStr">
        <is>
          <t>CZ</t>
        </is>
      </c>
      <c r="C294" t="inlineStr">
        <is>
          <t>CC_GOLD</t>
        </is>
      </c>
      <c r="D294" t="inlineStr">
        <is>
          <t>Current</t>
        </is>
      </c>
      <c r="E294" t="n">
        <v>0</v>
      </c>
      <c r="F294" t="n">
        <v>273</v>
      </c>
      <c r="G294" t="n">
        <v>15423335.41</v>
      </c>
      <c r="H294">
        <f>IFERROR(VLOOKUP(C294,Lookups!$A$3:$C$7,3,FALSE),"UNMAPPED")</f>
        <v/>
      </c>
    </row>
    <row r="295">
      <c r="A295" s="5" t="n">
        <v>45716</v>
      </c>
      <c r="B295" t="inlineStr">
        <is>
          <t>CZ</t>
        </is>
      </c>
      <c r="C295" t="inlineStr">
        <is>
          <t>CC_GOLD</t>
        </is>
      </c>
      <c r="D295" t="inlineStr">
        <is>
          <t>1-29</t>
        </is>
      </c>
      <c r="E295" t="n">
        <v>1</v>
      </c>
      <c r="F295" t="n">
        <v>3</v>
      </c>
      <c r="G295" t="n">
        <v>189684.61</v>
      </c>
      <c r="H295">
        <f>IFERROR(VLOOKUP(C295,Lookups!$A$3:$C$7,3,FALSE),"UNMAPPED")</f>
        <v/>
      </c>
    </row>
    <row r="296">
      <c r="A296" s="5" t="n">
        <v>45716</v>
      </c>
      <c r="B296" t="inlineStr">
        <is>
          <t>CZ</t>
        </is>
      </c>
      <c r="C296" t="inlineStr">
        <is>
          <t>CC_GOLD</t>
        </is>
      </c>
      <c r="D296" t="inlineStr">
        <is>
          <t>30-59</t>
        </is>
      </c>
      <c r="E296" t="n">
        <v>30</v>
      </c>
      <c r="F296" t="n">
        <v>4</v>
      </c>
      <c r="G296" t="n">
        <v>248754.32</v>
      </c>
      <c r="H296">
        <f>IFERROR(VLOOKUP(C296,Lookups!$A$3:$C$7,3,FALSE),"UNMAPPED")</f>
        <v/>
      </c>
    </row>
    <row r="297">
      <c r="A297" s="5" t="n">
        <v>45716</v>
      </c>
      <c r="B297" t="inlineStr">
        <is>
          <t>CZ</t>
        </is>
      </c>
      <c r="C297" t="inlineStr">
        <is>
          <t>CC_GOLD</t>
        </is>
      </c>
      <c r="D297" t="inlineStr">
        <is>
          <t>60-89</t>
        </is>
      </c>
      <c r="E297" t="n">
        <v>60</v>
      </c>
      <c r="F297" t="n">
        <v>1</v>
      </c>
      <c r="G297" t="n">
        <v>9942.110000000001</v>
      </c>
      <c r="H297">
        <f>IFERROR(VLOOKUP(C297,Lookups!$A$3:$C$7,3,FALSE),"UNMAPPED")</f>
        <v/>
      </c>
    </row>
    <row r="298">
      <c r="A298" s="5" t="n">
        <v>45716</v>
      </c>
      <c r="B298" t="inlineStr">
        <is>
          <t>CZ</t>
        </is>
      </c>
      <c r="C298" t="inlineStr">
        <is>
          <t>CC_GOLD</t>
        </is>
      </c>
      <c r="D298" t="inlineStr">
        <is>
          <t>90-179</t>
        </is>
      </c>
      <c r="E298" t="n">
        <v>90</v>
      </c>
      <c r="F298" t="n">
        <v>3</v>
      </c>
      <c r="G298" t="n">
        <v>269314.74</v>
      </c>
      <c r="H298">
        <f>IFERROR(VLOOKUP(C298,Lookups!$A$3:$C$7,3,FALSE),"UNMAPPED")</f>
        <v/>
      </c>
    </row>
    <row r="299">
      <c r="A299" s="5" t="n">
        <v>45716</v>
      </c>
      <c r="B299" t="inlineStr">
        <is>
          <t>CZ</t>
        </is>
      </c>
      <c r="C299" t="inlineStr">
        <is>
          <t>PL_PREM</t>
        </is>
      </c>
      <c r="D299" t="inlineStr">
        <is>
          <t>Current</t>
        </is>
      </c>
      <c r="E299" t="n">
        <v>0</v>
      </c>
      <c r="F299" t="n">
        <v>280</v>
      </c>
      <c r="G299" t="n">
        <v>66386968.74</v>
      </c>
      <c r="H299">
        <f>IFERROR(VLOOKUP(C299,Lookups!$A$3:$C$7,3,FALSE),"UNMAPPED")</f>
        <v/>
      </c>
    </row>
    <row r="300">
      <c r="A300" s="5" t="n">
        <v>45716</v>
      </c>
      <c r="B300" t="inlineStr">
        <is>
          <t>CZ</t>
        </is>
      </c>
      <c r="C300" t="inlineStr">
        <is>
          <t>PL_PREM</t>
        </is>
      </c>
      <c r="D300" t="inlineStr">
        <is>
          <t>1-29</t>
        </is>
      </c>
      <c r="E300" t="n">
        <v>1</v>
      </c>
      <c r="F300" t="n">
        <v>4</v>
      </c>
      <c r="G300" t="n">
        <v>874352.02</v>
      </c>
      <c r="H300">
        <f>IFERROR(VLOOKUP(C300,Lookups!$A$3:$C$7,3,FALSE),"UNMAPPED")</f>
        <v/>
      </c>
    </row>
    <row r="301">
      <c r="A301" s="5" t="n">
        <v>45716</v>
      </c>
      <c r="B301" t="inlineStr">
        <is>
          <t>CZ</t>
        </is>
      </c>
      <c r="C301" t="inlineStr">
        <is>
          <t>PL_PREM</t>
        </is>
      </c>
      <c r="D301" t="inlineStr">
        <is>
          <t>30-59</t>
        </is>
      </c>
      <c r="E301" t="n">
        <v>30</v>
      </c>
      <c r="F301" t="n">
        <v>1</v>
      </c>
      <c r="G301" t="n">
        <v>394073.6</v>
      </c>
      <c r="H301">
        <f>IFERROR(VLOOKUP(C301,Lookups!$A$3:$C$7,3,FALSE),"UNMAPPED")</f>
        <v/>
      </c>
    </row>
    <row r="302">
      <c r="A302" s="5" t="n">
        <v>45716</v>
      </c>
      <c r="B302" t="inlineStr">
        <is>
          <t>CZ</t>
        </is>
      </c>
      <c r="C302" t="inlineStr">
        <is>
          <t>PL_PREM</t>
        </is>
      </c>
      <c r="D302" t="inlineStr">
        <is>
          <t>60-89</t>
        </is>
      </c>
      <c r="E302" t="n">
        <v>60</v>
      </c>
      <c r="F302" t="n">
        <v>2</v>
      </c>
      <c r="G302" t="n">
        <v>687298.22</v>
      </c>
      <c r="H302">
        <f>IFERROR(VLOOKUP(C302,Lookups!$A$3:$C$7,3,FALSE),"UNMAPPED")</f>
        <v/>
      </c>
    </row>
    <row r="303">
      <c r="A303" s="5" t="n">
        <v>45716</v>
      </c>
      <c r="B303" t="inlineStr">
        <is>
          <t>CZ</t>
        </is>
      </c>
      <c r="C303" t="inlineStr">
        <is>
          <t>PL_PREM</t>
        </is>
      </c>
      <c r="D303" t="inlineStr">
        <is>
          <t>90-179</t>
        </is>
      </c>
      <c r="E303" t="n">
        <v>90</v>
      </c>
      <c r="F303" t="n">
        <v>6</v>
      </c>
      <c r="G303" t="n">
        <v>1514597.45</v>
      </c>
      <c r="H303">
        <f>IFERROR(VLOOKUP(C303,Lookups!$A$3:$C$7,3,FALSE),"UNMAPPED")</f>
        <v/>
      </c>
    </row>
    <row r="304">
      <c r="A304" s="5" t="n">
        <v>45716</v>
      </c>
      <c r="B304" t="inlineStr">
        <is>
          <t>CZ</t>
        </is>
      </c>
      <c r="C304" t="inlineStr">
        <is>
          <t>PL_STD</t>
        </is>
      </c>
      <c r="D304" t="inlineStr">
        <is>
          <t>Current</t>
        </is>
      </c>
      <c r="E304" t="n">
        <v>0</v>
      </c>
      <c r="F304" t="n">
        <v>757</v>
      </c>
      <c r="G304" t="n">
        <v>55639510.64</v>
      </c>
      <c r="H304">
        <f>IFERROR(VLOOKUP(C304,Lookups!$A$3:$C$7,3,FALSE),"UNMAPPED")</f>
        <v/>
      </c>
    </row>
    <row r="305">
      <c r="A305" s="5" t="n">
        <v>45716</v>
      </c>
      <c r="B305" t="inlineStr">
        <is>
          <t>CZ</t>
        </is>
      </c>
      <c r="C305" t="inlineStr">
        <is>
          <t>PL_STD</t>
        </is>
      </c>
      <c r="D305" t="inlineStr">
        <is>
          <t>1-29</t>
        </is>
      </c>
      <c r="E305" t="n">
        <v>1</v>
      </c>
      <c r="F305" t="n">
        <v>10</v>
      </c>
      <c r="G305" t="n">
        <v>686871.74</v>
      </c>
      <c r="H305">
        <f>IFERROR(VLOOKUP(C305,Lookups!$A$3:$C$7,3,FALSE),"UNMAPPED")</f>
        <v/>
      </c>
    </row>
    <row r="306">
      <c r="A306" s="5" t="n">
        <v>45716</v>
      </c>
      <c r="B306" t="inlineStr">
        <is>
          <t>CZ</t>
        </is>
      </c>
      <c r="C306" t="inlineStr">
        <is>
          <t>PL_STD</t>
        </is>
      </c>
      <c r="D306" t="inlineStr">
        <is>
          <t>30-59</t>
        </is>
      </c>
      <c r="E306" t="n">
        <v>30</v>
      </c>
      <c r="F306" t="n">
        <v>8</v>
      </c>
      <c r="G306" t="n">
        <v>476715.81</v>
      </c>
      <c r="H306">
        <f>IFERROR(VLOOKUP(C306,Lookups!$A$3:$C$7,3,FALSE),"UNMAPPED")</f>
        <v/>
      </c>
    </row>
    <row r="307">
      <c r="A307" s="5" t="n">
        <v>45716</v>
      </c>
      <c r="B307" t="inlineStr">
        <is>
          <t>CZ</t>
        </is>
      </c>
      <c r="C307" t="inlineStr">
        <is>
          <t>PL_STD</t>
        </is>
      </c>
      <c r="D307" t="inlineStr">
        <is>
          <t>60-89</t>
        </is>
      </c>
      <c r="E307" t="n">
        <v>60</v>
      </c>
      <c r="F307" t="n">
        <v>6</v>
      </c>
      <c r="G307" t="n">
        <v>597108.01</v>
      </c>
      <c r="H307">
        <f>IFERROR(VLOOKUP(C307,Lookups!$A$3:$C$7,3,FALSE),"UNMAPPED")</f>
        <v/>
      </c>
    </row>
    <row r="308">
      <c r="A308" s="5" t="n">
        <v>45716</v>
      </c>
      <c r="B308" t="inlineStr">
        <is>
          <t>CZ</t>
        </is>
      </c>
      <c r="C308" t="inlineStr">
        <is>
          <t>PL_STD</t>
        </is>
      </c>
      <c r="D308" t="inlineStr">
        <is>
          <t>90-179</t>
        </is>
      </c>
      <c r="E308" t="n">
        <v>90</v>
      </c>
      <c r="F308" t="n">
        <v>8</v>
      </c>
      <c r="G308" t="n">
        <v>368373.59</v>
      </c>
      <c r="H308">
        <f>IFERROR(VLOOKUP(C308,Lookups!$A$3:$C$7,3,FALSE),"UNMAPPED")</f>
        <v/>
      </c>
    </row>
    <row r="309">
      <c r="A309" s="5" t="n">
        <v>45716</v>
      </c>
      <c r="B309" t="inlineStr">
        <is>
          <t>PL</t>
        </is>
      </c>
      <c r="C309" t="inlineStr">
        <is>
          <t>CC_CLASSIC</t>
        </is>
      </c>
      <c r="D309" t="inlineStr">
        <is>
          <t>Current</t>
        </is>
      </c>
      <c r="E309" t="n">
        <v>0</v>
      </c>
      <c r="F309" t="n">
        <v>1309</v>
      </c>
      <c r="G309" t="n">
        <v>3601219.46</v>
      </c>
      <c r="H309">
        <f>IFERROR(VLOOKUP(C309,Lookups!$A$3:$C$7,3,FALSE),"UNMAPPED")</f>
        <v/>
      </c>
    </row>
    <row r="310">
      <c r="A310" s="5" t="n">
        <v>45716</v>
      </c>
      <c r="B310" t="inlineStr">
        <is>
          <t>PL</t>
        </is>
      </c>
      <c r="C310" t="inlineStr">
        <is>
          <t>CC_CLASSIC</t>
        </is>
      </c>
      <c r="D310" t="inlineStr">
        <is>
          <t>1-29</t>
        </is>
      </c>
      <c r="E310" t="n">
        <v>1</v>
      </c>
      <c r="F310" t="n">
        <v>18</v>
      </c>
      <c r="G310" t="n">
        <v>63797.54</v>
      </c>
      <c r="H310">
        <f>IFERROR(VLOOKUP(C310,Lookups!$A$3:$C$7,3,FALSE),"UNMAPPED")</f>
        <v/>
      </c>
    </row>
    <row r="311">
      <c r="A311" s="5" t="n">
        <v>45716</v>
      </c>
      <c r="B311" t="inlineStr">
        <is>
          <t>PL</t>
        </is>
      </c>
      <c r="C311" t="inlineStr">
        <is>
          <t>CC_CLASSIC</t>
        </is>
      </c>
      <c r="D311" t="inlineStr">
        <is>
          <t>30-59</t>
        </is>
      </c>
      <c r="E311" t="n">
        <v>30</v>
      </c>
      <c r="F311" t="n">
        <v>8</v>
      </c>
      <c r="G311" t="n">
        <v>21173.53</v>
      </c>
      <c r="H311">
        <f>IFERROR(VLOOKUP(C311,Lookups!$A$3:$C$7,3,FALSE),"UNMAPPED")</f>
        <v/>
      </c>
    </row>
    <row r="312">
      <c r="A312" s="5" t="n">
        <v>45716</v>
      </c>
      <c r="B312" t="inlineStr">
        <is>
          <t>PL</t>
        </is>
      </c>
      <c r="C312" t="inlineStr">
        <is>
          <t>CC_CLASSIC</t>
        </is>
      </c>
      <c r="D312" t="inlineStr">
        <is>
          <t>60-89</t>
        </is>
      </c>
      <c r="E312" t="n">
        <v>60</v>
      </c>
      <c r="F312" t="n">
        <v>9</v>
      </c>
      <c r="G312" t="n">
        <v>32375.54</v>
      </c>
      <c r="H312">
        <f>IFERROR(VLOOKUP(C312,Lookups!$A$3:$C$7,3,FALSE),"UNMAPPED")</f>
        <v/>
      </c>
    </row>
    <row r="313">
      <c r="A313" s="5" t="n">
        <v>45716</v>
      </c>
      <c r="B313" t="inlineStr">
        <is>
          <t>PL</t>
        </is>
      </c>
      <c r="C313" t="inlineStr">
        <is>
          <t>CC_CLASSIC</t>
        </is>
      </c>
      <c r="D313" t="inlineStr">
        <is>
          <t>90-179</t>
        </is>
      </c>
      <c r="E313" t="n">
        <v>90</v>
      </c>
      <c r="F313" t="n">
        <v>16</v>
      </c>
      <c r="G313" t="n">
        <v>55411.5</v>
      </c>
      <c r="H313">
        <f>IFERROR(VLOOKUP(C313,Lookups!$A$3:$C$7,3,FALSE),"UNMAPPED")</f>
        <v/>
      </c>
    </row>
    <row r="314">
      <c r="A314" s="5" t="n">
        <v>45716</v>
      </c>
      <c r="B314" t="inlineStr">
        <is>
          <t>PL</t>
        </is>
      </c>
      <c r="C314" t="inlineStr">
        <is>
          <t>CC_GOLD</t>
        </is>
      </c>
      <c r="D314" t="inlineStr">
        <is>
          <t>Current</t>
        </is>
      </c>
      <c r="E314" t="n">
        <v>0</v>
      </c>
      <c r="F314" t="n">
        <v>400</v>
      </c>
      <c r="G314" t="n">
        <v>3876971.54</v>
      </c>
      <c r="H314">
        <f>IFERROR(VLOOKUP(C314,Lookups!$A$3:$C$7,3,FALSE),"UNMAPPED")</f>
        <v/>
      </c>
    </row>
    <row r="315">
      <c r="A315" s="5" t="n">
        <v>45716</v>
      </c>
      <c r="B315" t="inlineStr">
        <is>
          <t>PL</t>
        </is>
      </c>
      <c r="C315" t="inlineStr">
        <is>
          <t>CC_GOLD</t>
        </is>
      </c>
      <c r="D315" t="inlineStr">
        <is>
          <t>1-29</t>
        </is>
      </c>
      <c r="E315" t="n">
        <v>1</v>
      </c>
      <c r="F315" t="n">
        <v>5</v>
      </c>
      <c r="G315" t="n">
        <v>57388.33</v>
      </c>
      <c r="H315">
        <f>IFERROR(VLOOKUP(C315,Lookups!$A$3:$C$7,3,FALSE),"UNMAPPED")</f>
        <v/>
      </c>
    </row>
    <row r="316">
      <c r="A316" s="5" t="n">
        <v>45716</v>
      </c>
      <c r="B316" t="inlineStr">
        <is>
          <t>PL</t>
        </is>
      </c>
      <c r="C316" t="inlineStr">
        <is>
          <t>CC_GOLD</t>
        </is>
      </c>
      <c r="D316" t="inlineStr">
        <is>
          <t>30-59</t>
        </is>
      </c>
      <c r="E316" t="n">
        <v>30</v>
      </c>
      <c r="F316" t="n">
        <v>1</v>
      </c>
      <c r="G316" t="n">
        <v>10591.86</v>
      </c>
      <c r="H316">
        <f>IFERROR(VLOOKUP(C316,Lookups!$A$3:$C$7,3,FALSE),"UNMAPPED")</f>
        <v/>
      </c>
    </row>
    <row r="317">
      <c r="A317" s="5" t="n">
        <v>45716</v>
      </c>
      <c r="B317" t="inlineStr">
        <is>
          <t>PL</t>
        </is>
      </c>
      <c r="C317" t="inlineStr">
        <is>
          <t>CC_GOLD</t>
        </is>
      </c>
      <c r="D317" t="inlineStr">
        <is>
          <t>60-89</t>
        </is>
      </c>
      <c r="E317" t="n">
        <v>60</v>
      </c>
      <c r="F317" t="n">
        <v>2</v>
      </c>
      <c r="G317" t="n">
        <v>19906.08</v>
      </c>
      <c r="H317">
        <f>IFERROR(VLOOKUP(C317,Lookups!$A$3:$C$7,3,FALSE),"UNMAPPED")</f>
        <v/>
      </c>
    </row>
    <row r="318">
      <c r="A318" s="5" t="n">
        <v>45716</v>
      </c>
      <c r="B318" t="inlineStr">
        <is>
          <t>PL</t>
        </is>
      </c>
      <c r="C318" t="inlineStr">
        <is>
          <t>CC_GOLD</t>
        </is>
      </c>
      <c r="D318" t="inlineStr">
        <is>
          <t>90-179</t>
        </is>
      </c>
      <c r="E318" t="n">
        <v>90</v>
      </c>
      <c r="F318" t="n">
        <v>9</v>
      </c>
      <c r="G318" t="n">
        <v>86660.58</v>
      </c>
      <c r="H318">
        <f>IFERROR(VLOOKUP(C318,Lookups!$A$3:$C$7,3,FALSE),"UNMAPPED")</f>
        <v/>
      </c>
    </row>
    <row r="319">
      <c r="A319" s="5" t="n">
        <v>45716</v>
      </c>
      <c r="B319" t="inlineStr">
        <is>
          <t>PL</t>
        </is>
      </c>
      <c r="C319" t="inlineStr">
        <is>
          <t>PL_PREM</t>
        </is>
      </c>
      <c r="D319" t="inlineStr">
        <is>
          <t>Current</t>
        </is>
      </c>
      <c r="E319" t="n">
        <v>0</v>
      </c>
      <c r="F319" t="n">
        <v>401</v>
      </c>
      <c r="G319" t="n">
        <v>17283450.89</v>
      </c>
      <c r="H319">
        <f>IFERROR(VLOOKUP(C319,Lookups!$A$3:$C$7,3,FALSE),"UNMAPPED")</f>
        <v/>
      </c>
    </row>
    <row r="320">
      <c r="A320" s="5" t="n">
        <v>45716</v>
      </c>
      <c r="B320" t="inlineStr">
        <is>
          <t>PL</t>
        </is>
      </c>
      <c r="C320" t="inlineStr">
        <is>
          <t>PL_PREM</t>
        </is>
      </c>
      <c r="D320" t="inlineStr">
        <is>
          <t>1-29</t>
        </is>
      </c>
      <c r="E320" t="n">
        <v>1</v>
      </c>
      <c r="F320" t="n">
        <v>7</v>
      </c>
      <c r="G320" t="n">
        <v>301681.22</v>
      </c>
      <c r="H320">
        <f>IFERROR(VLOOKUP(C320,Lookups!$A$3:$C$7,3,FALSE),"UNMAPPED")</f>
        <v/>
      </c>
    </row>
    <row r="321">
      <c r="A321" s="5" t="n">
        <v>45716</v>
      </c>
      <c r="B321" t="inlineStr">
        <is>
          <t>PL</t>
        </is>
      </c>
      <c r="C321" t="inlineStr">
        <is>
          <t>PL_PREM</t>
        </is>
      </c>
      <c r="D321" t="inlineStr">
        <is>
          <t>30-59</t>
        </is>
      </c>
      <c r="E321" t="n">
        <v>30</v>
      </c>
      <c r="F321" t="n">
        <v>3</v>
      </c>
      <c r="G321" t="n">
        <v>164056.97</v>
      </c>
      <c r="H321">
        <f>IFERROR(VLOOKUP(C321,Lookups!$A$3:$C$7,3,FALSE),"UNMAPPED")</f>
        <v/>
      </c>
    </row>
    <row r="322">
      <c r="A322" s="5" t="n">
        <v>45716</v>
      </c>
      <c r="B322" t="inlineStr">
        <is>
          <t>PL</t>
        </is>
      </c>
      <c r="C322" t="inlineStr">
        <is>
          <t>PL_PREM</t>
        </is>
      </c>
      <c r="D322" t="inlineStr">
        <is>
          <t>60-89</t>
        </is>
      </c>
      <c r="E322" t="n">
        <v>60</v>
      </c>
      <c r="F322" t="n">
        <v>4</v>
      </c>
      <c r="G322" t="n">
        <v>180801.61</v>
      </c>
      <c r="H322">
        <f>IFERROR(VLOOKUP(C322,Lookups!$A$3:$C$7,3,FALSE),"UNMAPPED")</f>
        <v/>
      </c>
    </row>
    <row r="323">
      <c r="A323" s="5" t="n">
        <v>45716</v>
      </c>
      <c r="B323" t="inlineStr">
        <is>
          <t>PL</t>
        </is>
      </c>
      <c r="C323" t="inlineStr">
        <is>
          <t>PL_PREM</t>
        </is>
      </c>
      <c r="D323" t="inlineStr">
        <is>
          <t>90-179</t>
        </is>
      </c>
      <c r="E323" t="n">
        <v>90</v>
      </c>
      <c r="F323" t="n">
        <v>3</v>
      </c>
      <c r="G323" t="n">
        <v>178518.23</v>
      </c>
      <c r="H323">
        <f>IFERROR(VLOOKUP(C323,Lookups!$A$3:$C$7,3,FALSE),"UNMAPPED")</f>
        <v/>
      </c>
    </row>
    <row r="324">
      <c r="A324" s="5" t="n">
        <v>45716</v>
      </c>
      <c r="B324" t="inlineStr">
        <is>
          <t>PL</t>
        </is>
      </c>
      <c r="C324" t="inlineStr">
        <is>
          <t>PL_STD</t>
        </is>
      </c>
      <c r="D324" t="inlineStr">
        <is>
          <t>Current</t>
        </is>
      </c>
      <c r="E324" t="n">
        <v>0</v>
      </c>
      <c r="F324" t="n">
        <v>1034</v>
      </c>
      <c r="G324" t="n">
        <v>12818628.09</v>
      </c>
      <c r="H324">
        <f>IFERROR(VLOOKUP(C324,Lookups!$A$3:$C$7,3,FALSE),"UNMAPPED")</f>
        <v/>
      </c>
    </row>
    <row r="325">
      <c r="A325" s="5" t="n">
        <v>45716</v>
      </c>
      <c r="B325" t="inlineStr">
        <is>
          <t>PL</t>
        </is>
      </c>
      <c r="C325" t="inlineStr">
        <is>
          <t>PL_STD</t>
        </is>
      </c>
      <c r="D325" t="inlineStr">
        <is>
          <t>1-29</t>
        </is>
      </c>
      <c r="E325" t="n">
        <v>1</v>
      </c>
      <c r="F325" t="n">
        <v>18</v>
      </c>
      <c r="G325" t="n">
        <v>247317.03</v>
      </c>
      <c r="H325">
        <f>IFERROR(VLOOKUP(C325,Lookups!$A$3:$C$7,3,FALSE),"UNMAPPED")</f>
        <v/>
      </c>
    </row>
    <row r="326">
      <c r="A326" s="5" t="n">
        <v>45716</v>
      </c>
      <c r="B326" t="inlineStr">
        <is>
          <t>PL</t>
        </is>
      </c>
      <c r="C326" t="inlineStr">
        <is>
          <t>PL_STD</t>
        </is>
      </c>
      <c r="D326" t="inlineStr">
        <is>
          <t>30-59</t>
        </is>
      </c>
      <c r="E326" t="n">
        <v>30</v>
      </c>
      <c r="F326" t="n">
        <v>9</v>
      </c>
      <c r="G326" t="n">
        <v>125056.05</v>
      </c>
      <c r="H326">
        <f>IFERROR(VLOOKUP(C326,Lookups!$A$3:$C$7,3,FALSE),"UNMAPPED")</f>
        <v/>
      </c>
    </row>
    <row r="327">
      <c r="A327" s="5" t="n">
        <v>45716</v>
      </c>
      <c r="B327" t="inlineStr">
        <is>
          <t>PL</t>
        </is>
      </c>
      <c r="C327" t="inlineStr">
        <is>
          <t>PL_STD</t>
        </is>
      </c>
      <c r="D327" t="inlineStr">
        <is>
          <t>90-179</t>
        </is>
      </c>
      <c r="E327" t="n">
        <v>90</v>
      </c>
      <c r="F327" t="n">
        <v>10</v>
      </c>
      <c r="G327" t="n">
        <v>133061.16</v>
      </c>
      <c r="H327">
        <f>IFERROR(VLOOKUP(C327,Lookups!$A$3:$C$7,3,FALSE),"UNMAPPED")</f>
        <v/>
      </c>
    </row>
    <row r="328">
      <c r="A328" s="5" t="n">
        <v>45716</v>
      </c>
      <c r="B328" t="inlineStr">
        <is>
          <t>RO</t>
        </is>
      </c>
      <c r="C328" t="inlineStr">
        <is>
          <t>CC_CLASSIC</t>
        </is>
      </c>
      <c r="D328" t="inlineStr">
        <is>
          <t>Current</t>
        </is>
      </c>
      <c r="E328" t="n">
        <v>0</v>
      </c>
      <c r="F328" t="n">
        <v>702</v>
      </c>
      <c r="G328" t="n">
        <v>2207091.84</v>
      </c>
      <c r="H328">
        <f>IFERROR(VLOOKUP(C328,Lookups!$A$3:$C$7,3,FALSE),"UNMAPPED")</f>
        <v/>
      </c>
    </row>
    <row r="329">
      <c r="A329" s="5" t="n">
        <v>45716</v>
      </c>
      <c r="B329" t="inlineStr">
        <is>
          <t>RO</t>
        </is>
      </c>
      <c r="C329" t="inlineStr">
        <is>
          <t>CC_CLASSIC</t>
        </is>
      </c>
      <c r="D329" t="inlineStr">
        <is>
          <t>1-29</t>
        </is>
      </c>
      <c r="E329" t="n">
        <v>1</v>
      </c>
      <c r="F329" t="n">
        <v>15</v>
      </c>
      <c r="G329" t="n">
        <v>63961.24</v>
      </c>
      <c r="H329">
        <f>IFERROR(VLOOKUP(C329,Lookups!$A$3:$C$7,3,FALSE),"UNMAPPED")</f>
        <v/>
      </c>
    </row>
    <row r="330">
      <c r="A330" s="5" t="n">
        <v>45716</v>
      </c>
      <c r="B330" t="inlineStr">
        <is>
          <t>RO</t>
        </is>
      </c>
      <c r="C330" t="inlineStr">
        <is>
          <t>CC_CLASSIC</t>
        </is>
      </c>
      <c r="D330" t="inlineStr">
        <is>
          <t>30-59</t>
        </is>
      </c>
      <c r="E330" t="n">
        <v>30</v>
      </c>
      <c r="F330" t="n">
        <v>7</v>
      </c>
      <c r="G330" t="n">
        <v>33469.08</v>
      </c>
      <c r="H330">
        <f>IFERROR(VLOOKUP(C330,Lookups!$A$3:$C$7,3,FALSE),"UNMAPPED")</f>
        <v/>
      </c>
    </row>
    <row r="331">
      <c r="A331" s="5" t="n">
        <v>45716</v>
      </c>
      <c r="B331" t="inlineStr">
        <is>
          <t>RO</t>
        </is>
      </c>
      <c r="C331" t="inlineStr">
        <is>
          <t>CC_CLASSIC</t>
        </is>
      </c>
      <c r="D331" t="inlineStr">
        <is>
          <t>60-89</t>
        </is>
      </c>
      <c r="E331" t="n">
        <v>60</v>
      </c>
      <c r="F331" t="n">
        <v>6</v>
      </c>
      <c r="G331" t="n">
        <v>18868.91</v>
      </c>
      <c r="H331">
        <f>IFERROR(VLOOKUP(C331,Lookups!$A$3:$C$7,3,FALSE),"UNMAPPED")</f>
        <v/>
      </c>
    </row>
    <row r="332">
      <c r="A332" s="5" t="n">
        <v>45716</v>
      </c>
      <c r="B332" t="inlineStr">
        <is>
          <t>RO</t>
        </is>
      </c>
      <c r="C332" t="inlineStr">
        <is>
          <t>CC_CLASSIC</t>
        </is>
      </c>
      <c r="D332" t="inlineStr">
        <is>
          <t>90-179</t>
        </is>
      </c>
      <c r="E332" t="n">
        <v>90</v>
      </c>
      <c r="F332" t="n">
        <v>8</v>
      </c>
      <c r="G332" t="n">
        <v>28900.76</v>
      </c>
      <c r="H332">
        <f>IFERROR(VLOOKUP(C332,Lookups!$A$3:$C$7,3,FALSE),"UNMAPPED")</f>
        <v/>
      </c>
    </row>
    <row r="333">
      <c r="A333" s="5" t="n">
        <v>45716</v>
      </c>
      <c r="B333" t="inlineStr">
        <is>
          <t>RO</t>
        </is>
      </c>
      <c r="C333" t="inlineStr">
        <is>
          <t>CC_GOLD</t>
        </is>
      </c>
      <c r="D333" t="inlineStr">
        <is>
          <t>Current</t>
        </is>
      </c>
      <c r="E333" t="n">
        <v>0</v>
      </c>
      <c r="F333" t="n">
        <v>186</v>
      </c>
      <c r="G333" t="n">
        <v>2262763.71</v>
      </c>
      <c r="H333">
        <f>IFERROR(VLOOKUP(C333,Lookups!$A$3:$C$7,3,FALSE),"UNMAPPED")</f>
        <v/>
      </c>
    </row>
    <row r="334">
      <c r="A334" s="5" t="n">
        <v>45716</v>
      </c>
      <c r="B334" t="inlineStr">
        <is>
          <t>RO</t>
        </is>
      </c>
      <c r="C334" t="inlineStr">
        <is>
          <t>CC_GOLD</t>
        </is>
      </c>
      <c r="D334" t="inlineStr">
        <is>
          <t>1-29</t>
        </is>
      </c>
      <c r="E334" t="n">
        <v>1</v>
      </c>
      <c r="F334" t="n">
        <v>4</v>
      </c>
      <c r="G334" t="n">
        <v>45154.69</v>
      </c>
      <c r="H334">
        <f>IFERROR(VLOOKUP(C334,Lookups!$A$3:$C$7,3,FALSE),"UNMAPPED")</f>
        <v/>
      </c>
    </row>
    <row r="335">
      <c r="A335" s="5" t="n">
        <v>45716</v>
      </c>
      <c r="B335" t="inlineStr">
        <is>
          <t>RO</t>
        </is>
      </c>
      <c r="C335" t="inlineStr">
        <is>
          <t>CC_GOLD</t>
        </is>
      </c>
      <c r="D335" t="inlineStr">
        <is>
          <t>30-59</t>
        </is>
      </c>
      <c r="E335" t="n">
        <v>30</v>
      </c>
      <c r="F335" t="n">
        <v>4</v>
      </c>
      <c r="G335" t="n">
        <v>22930.22</v>
      </c>
      <c r="H335">
        <f>IFERROR(VLOOKUP(C335,Lookups!$A$3:$C$7,3,FALSE),"UNMAPPED")</f>
        <v/>
      </c>
    </row>
    <row r="336">
      <c r="A336" s="5" t="n">
        <v>45716</v>
      </c>
      <c r="B336" t="inlineStr">
        <is>
          <t>RO</t>
        </is>
      </c>
      <c r="C336" t="inlineStr">
        <is>
          <t>CC_GOLD</t>
        </is>
      </c>
      <c r="D336" t="inlineStr">
        <is>
          <t>60-89</t>
        </is>
      </c>
      <c r="E336" t="n">
        <v>60</v>
      </c>
      <c r="F336" t="n">
        <v>3</v>
      </c>
      <c r="G336" t="n">
        <v>28125.32</v>
      </c>
      <c r="H336">
        <f>IFERROR(VLOOKUP(C336,Lookups!$A$3:$C$7,3,FALSE),"UNMAPPED")</f>
        <v/>
      </c>
    </row>
    <row r="337">
      <c r="A337" s="5" t="n">
        <v>45716</v>
      </c>
      <c r="B337" t="inlineStr">
        <is>
          <t>RO</t>
        </is>
      </c>
      <c r="C337" t="inlineStr">
        <is>
          <t>CC_GOLD</t>
        </is>
      </c>
      <c r="D337" t="inlineStr">
        <is>
          <t>90-179</t>
        </is>
      </c>
      <c r="E337" t="n">
        <v>90</v>
      </c>
      <c r="F337" t="n">
        <v>1</v>
      </c>
      <c r="G337" t="n">
        <v>14948.94</v>
      </c>
      <c r="H337">
        <f>IFERROR(VLOOKUP(C337,Lookups!$A$3:$C$7,3,FALSE),"UNMAPPED")</f>
        <v/>
      </c>
    </row>
    <row r="338">
      <c r="A338" s="5" t="n">
        <v>45716</v>
      </c>
      <c r="B338" t="inlineStr">
        <is>
          <t>RO</t>
        </is>
      </c>
      <c r="C338" t="inlineStr">
        <is>
          <t>PL_PREM</t>
        </is>
      </c>
      <c r="D338" t="inlineStr">
        <is>
          <t>Current</t>
        </is>
      </c>
      <c r="E338" t="n">
        <v>0</v>
      </c>
      <c r="F338" t="n">
        <v>255</v>
      </c>
      <c r="G338" t="n">
        <v>12817141.24</v>
      </c>
      <c r="H338">
        <f>IFERROR(VLOOKUP(C338,Lookups!$A$3:$C$7,3,FALSE),"UNMAPPED")</f>
        <v/>
      </c>
    </row>
    <row r="339">
      <c r="A339" s="5" t="n">
        <v>45716</v>
      </c>
      <c r="B339" t="inlineStr">
        <is>
          <t>RO</t>
        </is>
      </c>
      <c r="C339" t="inlineStr">
        <is>
          <t>PL_PREM</t>
        </is>
      </c>
      <c r="D339" t="inlineStr">
        <is>
          <t>1-29</t>
        </is>
      </c>
      <c r="E339" t="n">
        <v>1</v>
      </c>
      <c r="F339" t="n">
        <v>5</v>
      </c>
      <c r="G339" t="n">
        <v>137942.25</v>
      </c>
      <c r="H339">
        <f>IFERROR(VLOOKUP(C339,Lookups!$A$3:$C$7,3,FALSE),"UNMAPPED")</f>
        <v/>
      </c>
    </row>
    <row r="340">
      <c r="A340" s="5" t="n">
        <v>45716</v>
      </c>
      <c r="B340" t="inlineStr">
        <is>
          <t>RO</t>
        </is>
      </c>
      <c r="C340" t="inlineStr">
        <is>
          <t>PL_PREM</t>
        </is>
      </c>
      <c r="D340" t="inlineStr">
        <is>
          <t>30-59</t>
        </is>
      </c>
      <c r="E340" t="n">
        <v>30</v>
      </c>
      <c r="F340" t="n">
        <v>2</v>
      </c>
      <c r="G340" t="n">
        <v>75675.21000000001</v>
      </c>
      <c r="H340">
        <f>IFERROR(VLOOKUP(C340,Lookups!$A$3:$C$7,3,FALSE),"UNMAPPED")</f>
        <v/>
      </c>
    </row>
    <row r="341">
      <c r="A341" s="5" t="n">
        <v>45716</v>
      </c>
      <c r="B341" t="inlineStr">
        <is>
          <t>RO</t>
        </is>
      </c>
      <c r="C341" t="inlineStr">
        <is>
          <t>PL_PREM</t>
        </is>
      </c>
      <c r="D341" t="inlineStr">
        <is>
          <t>60-89</t>
        </is>
      </c>
      <c r="E341" t="n">
        <v>60</v>
      </c>
      <c r="F341" t="n">
        <v>1</v>
      </c>
      <c r="G341" t="n">
        <v>28389.86</v>
      </c>
      <c r="H341">
        <f>IFERROR(VLOOKUP(C341,Lookups!$A$3:$C$7,3,FALSE),"UNMAPPED")</f>
        <v/>
      </c>
    </row>
    <row r="342">
      <c r="A342" s="5" t="n">
        <v>45716</v>
      </c>
      <c r="B342" t="inlineStr">
        <is>
          <t>RO</t>
        </is>
      </c>
      <c r="C342" t="inlineStr">
        <is>
          <t>PL_PREM</t>
        </is>
      </c>
      <c r="D342" t="inlineStr">
        <is>
          <t>90-179</t>
        </is>
      </c>
      <c r="E342" t="n">
        <v>90</v>
      </c>
      <c r="F342" t="n">
        <v>2</v>
      </c>
      <c r="G342" t="n">
        <v>171842.34</v>
      </c>
      <c r="H342">
        <f>IFERROR(VLOOKUP(C342,Lookups!$A$3:$C$7,3,FALSE),"UNMAPPED")</f>
        <v/>
      </c>
    </row>
    <row r="343">
      <c r="A343" s="5" t="n">
        <v>45716</v>
      </c>
      <c r="B343" t="inlineStr">
        <is>
          <t>RO</t>
        </is>
      </c>
      <c r="C343" t="inlineStr">
        <is>
          <t>PL_STD</t>
        </is>
      </c>
      <c r="D343" t="inlineStr">
        <is>
          <t>Current</t>
        </is>
      </c>
      <c r="E343" t="n">
        <v>0</v>
      </c>
      <c r="F343" t="n">
        <v>642</v>
      </c>
      <c r="G343" t="n">
        <v>10422113.92</v>
      </c>
      <c r="H343">
        <f>IFERROR(VLOOKUP(C343,Lookups!$A$3:$C$7,3,FALSE),"UNMAPPED")</f>
        <v/>
      </c>
    </row>
    <row r="344">
      <c r="A344" s="5" t="n">
        <v>45716</v>
      </c>
      <c r="B344" t="inlineStr">
        <is>
          <t>RO</t>
        </is>
      </c>
      <c r="C344" t="inlineStr">
        <is>
          <t>PL_STD</t>
        </is>
      </c>
      <c r="D344" t="inlineStr">
        <is>
          <t>1-29</t>
        </is>
      </c>
      <c r="E344" t="n">
        <v>1</v>
      </c>
      <c r="F344" t="n">
        <v>17</v>
      </c>
      <c r="G344" t="n">
        <v>196274.46</v>
      </c>
      <c r="H344">
        <f>IFERROR(VLOOKUP(C344,Lookups!$A$3:$C$7,3,FALSE),"UNMAPPED")</f>
        <v/>
      </c>
    </row>
    <row r="345">
      <c r="A345" s="5" t="n">
        <v>45716</v>
      </c>
      <c r="B345" t="inlineStr">
        <is>
          <t>RO</t>
        </is>
      </c>
      <c r="C345" t="inlineStr">
        <is>
          <t>PL_STD</t>
        </is>
      </c>
      <c r="D345" t="inlineStr">
        <is>
          <t>30-59</t>
        </is>
      </c>
      <c r="E345" t="n">
        <v>30</v>
      </c>
      <c r="F345" t="n">
        <v>11</v>
      </c>
      <c r="G345" t="n">
        <v>125765.6</v>
      </c>
      <c r="H345">
        <f>IFERROR(VLOOKUP(C345,Lookups!$A$3:$C$7,3,FALSE),"UNMAPPED")</f>
        <v/>
      </c>
    </row>
    <row r="346">
      <c r="A346" s="5" t="n">
        <v>45716</v>
      </c>
      <c r="B346" t="inlineStr">
        <is>
          <t>RO</t>
        </is>
      </c>
      <c r="C346" t="inlineStr">
        <is>
          <t>PL_STD</t>
        </is>
      </c>
      <c r="D346" t="inlineStr">
        <is>
          <t>60-89</t>
        </is>
      </c>
      <c r="E346" t="n">
        <v>60</v>
      </c>
      <c r="F346" t="n">
        <v>1</v>
      </c>
      <c r="G346" t="n">
        <v>40336.31</v>
      </c>
      <c r="H346">
        <f>IFERROR(VLOOKUP(C346,Lookups!$A$3:$C$7,3,FALSE),"UNMAPPED")</f>
        <v/>
      </c>
    </row>
    <row r="347">
      <c r="A347" s="5" t="n">
        <v>45716</v>
      </c>
      <c r="B347" t="inlineStr">
        <is>
          <t>RO</t>
        </is>
      </c>
      <c r="C347" t="inlineStr">
        <is>
          <t>PL_STD</t>
        </is>
      </c>
      <c r="D347" t="inlineStr">
        <is>
          <t>90-179</t>
        </is>
      </c>
      <c r="E347" t="n">
        <v>90</v>
      </c>
      <c r="F347" t="n">
        <v>11</v>
      </c>
      <c r="G347" t="n">
        <v>179181.26</v>
      </c>
      <c r="H347">
        <f>IFERROR(VLOOKUP(C347,Lookups!$A$3:$C$7,3,FALSE),"UNMAPPED")</f>
        <v/>
      </c>
    </row>
    <row r="348">
      <c r="A348" s="5" t="n">
        <v>45747</v>
      </c>
      <c r="B348" t="inlineStr">
        <is>
          <t>CZ</t>
        </is>
      </c>
      <c r="C348" t="inlineStr">
        <is>
          <t>CC_CLASSIC</t>
        </is>
      </c>
      <c r="D348" t="inlineStr">
        <is>
          <t>Current</t>
        </is>
      </c>
      <c r="E348" t="n">
        <v>0</v>
      </c>
      <c r="F348" t="n">
        <v>1013</v>
      </c>
      <c r="G348" t="n">
        <v>16062694.41</v>
      </c>
      <c r="H348">
        <f>IFERROR(VLOOKUP(C348,Lookups!$A$3:$C$7,3,FALSE),"UNMAPPED")</f>
        <v/>
      </c>
    </row>
    <row r="349">
      <c r="A349" s="5" t="n">
        <v>45747</v>
      </c>
      <c r="B349" t="inlineStr">
        <is>
          <t>CZ</t>
        </is>
      </c>
      <c r="C349" t="inlineStr">
        <is>
          <t>CC_CLASSIC</t>
        </is>
      </c>
      <c r="D349" t="inlineStr">
        <is>
          <t>1-29</t>
        </is>
      </c>
      <c r="E349" t="n">
        <v>1</v>
      </c>
      <c r="F349" t="n">
        <v>13</v>
      </c>
      <c r="G349" t="n">
        <v>202503.64</v>
      </c>
      <c r="H349">
        <f>IFERROR(VLOOKUP(C349,Lookups!$A$3:$C$7,3,FALSE),"UNMAPPED")</f>
        <v/>
      </c>
    </row>
    <row r="350">
      <c r="A350" s="5" t="n">
        <v>45747</v>
      </c>
      <c r="B350" t="inlineStr">
        <is>
          <t>CZ</t>
        </is>
      </c>
      <c r="C350" t="inlineStr">
        <is>
          <t>CC_CLASSIC</t>
        </is>
      </c>
      <c r="D350" t="inlineStr">
        <is>
          <t>30-59</t>
        </is>
      </c>
      <c r="E350" t="n">
        <v>30</v>
      </c>
      <c r="F350" t="n">
        <v>10</v>
      </c>
      <c r="G350" t="n">
        <v>159385.17</v>
      </c>
      <c r="H350">
        <f>IFERROR(VLOOKUP(C350,Lookups!$A$3:$C$7,3,FALSE),"UNMAPPED")</f>
        <v/>
      </c>
    </row>
    <row r="351">
      <c r="A351" s="5" t="n">
        <v>45747</v>
      </c>
      <c r="B351" t="inlineStr">
        <is>
          <t>CZ</t>
        </is>
      </c>
      <c r="C351" t="inlineStr">
        <is>
          <t>CC_CLASSIC</t>
        </is>
      </c>
      <c r="D351" t="inlineStr">
        <is>
          <t>60-89</t>
        </is>
      </c>
      <c r="E351" t="n">
        <v>60</v>
      </c>
      <c r="F351" t="n">
        <v>6</v>
      </c>
      <c r="G351" t="n">
        <v>151056.24</v>
      </c>
      <c r="H351">
        <f>IFERROR(VLOOKUP(C351,Lookups!$A$3:$C$7,3,FALSE),"UNMAPPED")</f>
        <v/>
      </c>
    </row>
    <row r="352">
      <c r="A352" s="5" t="n">
        <v>45747</v>
      </c>
      <c r="B352" t="inlineStr">
        <is>
          <t>CZ</t>
        </is>
      </c>
      <c r="C352" t="inlineStr">
        <is>
          <t>CC_CLASSIC</t>
        </is>
      </c>
      <c r="D352" t="inlineStr">
        <is>
          <t>90-179</t>
        </is>
      </c>
      <c r="E352" t="n">
        <v>90</v>
      </c>
      <c r="F352" t="n">
        <v>11</v>
      </c>
      <c r="G352" t="n">
        <v>288229.91</v>
      </c>
      <c r="H352">
        <f>IFERROR(VLOOKUP(C352,Lookups!$A$3:$C$7,3,FALSE),"UNMAPPED")</f>
        <v/>
      </c>
    </row>
    <row r="353">
      <c r="A353" s="5" t="n">
        <v>45747</v>
      </c>
      <c r="B353" t="inlineStr">
        <is>
          <t>CZ</t>
        </is>
      </c>
      <c r="C353" t="inlineStr">
        <is>
          <t>CC_CONSOL</t>
        </is>
      </c>
      <c r="D353" t="inlineStr">
        <is>
          <t>Current</t>
        </is>
      </c>
      <c r="E353" t="n">
        <v>0</v>
      </c>
      <c r="F353" t="n">
        <v>9</v>
      </c>
      <c r="G353" t="n">
        <v>1296000</v>
      </c>
      <c r="H353">
        <f>IFERROR(VLOOKUP(C353,Lookups!$A$3:$C$7,3,FALSE),"UNMAPPED")</f>
        <v/>
      </c>
    </row>
    <row r="354">
      <c r="A354" s="5" t="n">
        <v>45747</v>
      </c>
      <c r="B354" t="inlineStr">
        <is>
          <t>CZ</t>
        </is>
      </c>
      <c r="C354" t="inlineStr">
        <is>
          <t>CC_GOLD</t>
        </is>
      </c>
      <c r="D354" t="inlineStr">
        <is>
          <t>Current</t>
        </is>
      </c>
      <c r="E354" t="n">
        <v>0</v>
      </c>
      <c r="F354" t="n">
        <v>283</v>
      </c>
      <c r="G354" t="n">
        <v>16333933.35</v>
      </c>
      <c r="H354">
        <f>IFERROR(VLOOKUP(C354,Lookups!$A$3:$C$7,3,FALSE),"UNMAPPED")</f>
        <v/>
      </c>
    </row>
    <row r="355">
      <c r="A355" s="5" t="n">
        <v>45747</v>
      </c>
      <c r="B355" t="inlineStr">
        <is>
          <t>CZ</t>
        </is>
      </c>
      <c r="C355" t="inlineStr">
        <is>
          <t>CC_GOLD</t>
        </is>
      </c>
      <c r="D355" t="inlineStr">
        <is>
          <t>1-29</t>
        </is>
      </c>
      <c r="E355" t="n">
        <v>1</v>
      </c>
      <c r="F355" t="n">
        <v>3</v>
      </c>
      <c r="G355" t="n">
        <v>256511.87</v>
      </c>
      <c r="H355">
        <f>IFERROR(VLOOKUP(C355,Lookups!$A$3:$C$7,3,FALSE),"UNMAPPED")</f>
        <v/>
      </c>
    </row>
    <row r="356">
      <c r="A356" s="5" t="n">
        <v>45747</v>
      </c>
      <c r="B356" t="inlineStr">
        <is>
          <t>CZ</t>
        </is>
      </c>
      <c r="C356" t="inlineStr">
        <is>
          <t>CC_GOLD</t>
        </is>
      </c>
      <c r="D356" t="inlineStr">
        <is>
          <t>30-59</t>
        </is>
      </c>
      <c r="E356" t="n">
        <v>30</v>
      </c>
      <c r="F356" t="n">
        <v>1</v>
      </c>
      <c r="G356" t="n">
        <v>106201.37</v>
      </c>
      <c r="H356">
        <f>IFERROR(VLOOKUP(C356,Lookups!$A$3:$C$7,3,FALSE),"UNMAPPED")</f>
        <v/>
      </c>
    </row>
    <row r="357">
      <c r="A357" s="5" t="n">
        <v>45747</v>
      </c>
      <c r="B357" t="inlineStr">
        <is>
          <t>CZ</t>
        </is>
      </c>
      <c r="C357" t="inlineStr">
        <is>
          <t>CC_GOLD</t>
        </is>
      </c>
      <c r="D357" t="inlineStr">
        <is>
          <t>60-89</t>
        </is>
      </c>
      <c r="E357" t="n">
        <v>60</v>
      </c>
      <c r="F357" t="n">
        <v>4</v>
      </c>
      <c r="G357" t="n">
        <v>252879.5</v>
      </c>
      <c r="H357">
        <f>IFERROR(VLOOKUP(C357,Lookups!$A$3:$C$7,3,FALSE),"UNMAPPED")</f>
        <v/>
      </c>
    </row>
    <row r="358">
      <c r="A358" s="5" t="n">
        <v>45747</v>
      </c>
      <c r="B358" t="inlineStr">
        <is>
          <t>CZ</t>
        </is>
      </c>
      <c r="C358" t="inlineStr">
        <is>
          <t>CC_GOLD</t>
        </is>
      </c>
      <c r="D358" t="inlineStr">
        <is>
          <t>90-179</t>
        </is>
      </c>
      <c r="E358" t="n">
        <v>90</v>
      </c>
      <c r="F358" t="n">
        <v>2</v>
      </c>
      <c r="G358" t="n">
        <v>69973.42</v>
      </c>
      <c r="H358">
        <f>IFERROR(VLOOKUP(C358,Lookups!$A$3:$C$7,3,FALSE),"UNMAPPED")</f>
        <v/>
      </c>
    </row>
    <row r="359">
      <c r="A359" s="5" t="n">
        <v>45747</v>
      </c>
      <c r="B359" t="inlineStr">
        <is>
          <t>CZ</t>
        </is>
      </c>
      <c r="C359" t="inlineStr">
        <is>
          <t>PL_PREM</t>
        </is>
      </c>
      <c r="D359" t="inlineStr">
        <is>
          <t>Current</t>
        </is>
      </c>
      <c r="E359" t="n">
        <v>0</v>
      </c>
      <c r="F359" t="n">
        <v>293</v>
      </c>
      <c r="G359" t="n">
        <v>69779272.61</v>
      </c>
      <c r="H359">
        <f>IFERROR(VLOOKUP(C359,Lookups!$A$3:$C$7,3,FALSE),"UNMAPPED")</f>
        <v/>
      </c>
    </row>
    <row r="360">
      <c r="A360" s="5" t="n">
        <v>45747</v>
      </c>
      <c r="B360" t="inlineStr">
        <is>
          <t>CZ</t>
        </is>
      </c>
      <c r="C360" t="inlineStr">
        <is>
          <t>PL_PREM</t>
        </is>
      </c>
      <c r="D360" t="inlineStr">
        <is>
          <t>1-29</t>
        </is>
      </c>
      <c r="E360" t="n">
        <v>1</v>
      </c>
      <c r="F360" t="n">
        <v>2</v>
      </c>
      <c r="G360" t="n">
        <v>439698.87</v>
      </c>
      <c r="H360">
        <f>IFERROR(VLOOKUP(C360,Lookups!$A$3:$C$7,3,FALSE),"UNMAPPED")</f>
        <v/>
      </c>
    </row>
    <row r="361">
      <c r="A361" s="5" t="n">
        <v>45747</v>
      </c>
      <c r="B361" t="inlineStr">
        <is>
          <t>CZ</t>
        </is>
      </c>
      <c r="C361" t="inlineStr">
        <is>
          <t>PL_PREM</t>
        </is>
      </c>
      <c r="D361" t="inlineStr">
        <is>
          <t>30-59</t>
        </is>
      </c>
      <c r="E361" t="n">
        <v>30</v>
      </c>
      <c r="F361" t="n">
        <v>2</v>
      </c>
      <c r="G361" t="n">
        <v>510269.25</v>
      </c>
      <c r="H361">
        <f>IFERROR(VLOOKUP(C361,Lookups!$A$3:$C$7,3,FALSE),"UNMAPPED")</f>
        <v/>
      </c>
    </row>
    <row r="362">
      <c r="A362" s="5" t="n">
        <v>45747</v>
      </c>
      <c r="B362" t="inlineStr">
        <is>
          <t>CZ</t>
        </is>
      </c>
      <c r="C362" t="inlineStr">
        <is>
          <t>PL_PREM</t>
        </is>
      </c>
      <c r="D362" t="inlineStr">
        <is>
          <t>60-89</t>
        </is>
      </c>
      <c r="E362" t="n">
        <v>60</v>
      </c>
      <c r="F362" t="n">
        <v>2</v>
      </c>
      <c r="G362" t="n">
        <v>782133.46</v>
      </c>
      <c r="H362">
        <f>IFERROR(VLOOKUP(C362,Lookups!$A$3:$C$7,3,FALSE),"UNMAPPED")</f>
        <v/>
      </c>
    </row>
    <row r="363">
      <c r="A363" s="5" t="n">
        <v>45747</v>
      </c>
      <c r="B363" t="inlineStr">
        <is>
          <t>CZ</t>
        </is>
      </c>
      <c r="C363" t="inlineStr">
        <is>
          <t>PL_PREM</t>
        </is>
      </c>
      <c r="D363" t="inlineStr">
        <is>
          <t>90-179</t>
        </is>
      </c>
      <c r="E363" t="n">
        <v>90</v>
      </c>
      <c r="F363" t="n">
        <v>4</v>
      </c>
      <c r="G363" t="n">
        <v>1004998.92</v>
      </c>
      <c r="H363">
        <f>IFERROR(VLOOKUP(C363,Lookups!$A$3:$C$7,3,FALSE),"UNMAPPED")</f>
        <v/>
      </c>
    </row>
    <row r="364">
      <c r="A364" s="5" t="n">
        <v>45747</v>
      </c>
      <c r="B364" t="inlineStr">
        <is>
          <t>CZ</t>
        </is>
      </c>
      <c r="C364" t="inlineStr">
        <is>
          <t>PL_STD</t>
        </is>
      </c>
      <c r="D364" t="inlineStr">
        <is>
          <t>Current</t>
        </is>
      </c>
      <c r="E364" t="n">
        <v>0</v>
      </c>
      <c r="F364" t="n">
        <v>762</v>
      </c>
      <c r="G364" t="n">
        <v>55631030.9</v>
      </c>
      <c r="H364">
        <f>IFERROR(VLOOKUP(C364,Lookups!$A$3:$C$7,3,FALSE),"UNMAPPED")</f>
        <v/>
      </c>
    </row>
    <row r="365">
      <c r="A365" s="5" t="n">
        <v>45747</v>
      </c>
      <c r="B365" t="inlineStr">
        <is>
          <t>CZ</t>
        </is>
      </c>
      <c r="C365" t="inlineStr">
        <is>
          <t>PL_STD</t>
        </is>
      </c>
      <c r="D365" t="inlineStr">
        <is>
          <t>1-29</t>
        </is>
      </c>
      <c r="E365" t="n">
        <v>1</v>
      </c>
      <c r="F365" t="n">
        <v>10</v>
      </c>
      <c r="G365" t="n">
        <v>858030.25</v>
      </c>
      <c r="H365">
        <f>IFERROR(VLOOKUP(C365,Lookups!$A$3:$C$7,3,FALSE),"UNMAPPED")</f>
        <v/>
      </c>
    </row>
    <row r="366">
      <c r="A366" s="5" t="n">
        <v>45747</v>
      </c>
      <c r="B366" t="inlineStr">
        <is>
          <t>CZ</t>
        </is>
      </c>
      <c r="C366" t="inlineStr">
        <is>
          <t>PL_STD</t>
        </is>
      </c>
      <c r="D366" t="inlineStr">
        <is>
          <t>30-59</t>
        </is>
      </c>
      <c r="E366" t="n">
        <v>30</v>
      </c>
      <c r="F366" t="n">
        <v>6</v>
      </c>
      <c r="G366" t="n">
        <v>480708.58</v>
      </c>
      <c r="H366">
        <f>IFERROR(VLOOKUP(C366,Lookups!$A$3:$C$7,3,FALSE),"UNMAPPED")</f>
        <v/>
      </c>
    </row>
    <row r="367">
      <c r="A367" s="5" t="n">
        <v>45747</v>
      </c>
      <c r="B367" t="inlineStr">
        <is>
          <t>CZ</t>
        </is>
      </c>
      <c r="C367" t="inlineStr">
        <is>
          <t>PL_STD</t>
        </is>
      </c>
      <c r="D367" t="inlineStr">
        <is>
          <t>60-89</t>
        </is>
      </c>
      <c r="E367" t="n">
        <v>60</v>
      </c>
      <c r="F367" t="n">
        <v>7</v>
      </c>
      <c r="G367" t="n">
        <v>472626.99</v>
      </c>
      <c r="H367">
        <f>IFERROR(VLOOKUP(C367,Lookups!$A$3:$C$7,3,FALSE),"UNMAPPED")</f>
        <v/>
      </c>
    </row>
    <row r="368">
      <c r="A368" s="5" t="n">
        <v>45747</v>
      </c>
      <c r="B368" t="inlineStr">
        <is>
          <t>CZ</t>
        </is>
      </c>
      <c r="C368" t="inlineStr">
        <is>
          <t>PL_STD</t>
        </is>
      </c>
      <c r="D368" t="inlineStr">
        <is>
          <t>90-179</t>
        </is>
      </c>
      <c r="E368" t="n">
        <v>90</v>
      </c>
      <c r="F368" t="n">
        <v>7</v>
      </c>
      <c r="G368" t="n">
        <v>435073.87</v>
      </c>
      <c r="H368">
        <f>IFERROR(VLOOKUP(C368,Lookups!$A$3:$C$7,3,FALSE),"UNMAPPED")</f>
        <v/>
      </c>
    </row>
    <row r="369">
      <c r="A369" s="5" t="n">
        <v>45747</v>
      </c>
      <c r="B369" t="inlineStr">
        <is>
          <t>PL</t>
        </is>
      </c>
      <c r="C369" t="inlineStr">
        <is>
          <t>CC_CLASSIC</t>
        </is>
      </c>
      <c r="D369" t="inlineStr">
        <is>
          <t>Current</t>
        </is>
      </c>
      <c r="E369" t="n">
        <v>0</v>
      </c>
      <c r="F369" t="n">
        <v>1355</v>
      </c>
      <c r="G369" t="n">
        <v>3759182.4</v>
      </c>
      <c r="H369">
        <f>IFERROR(VLOOKUP(C369,Lookups!$A$3:$C$7,3,FALSE),"UNMAPPED")</f>
        <v/>
      </c>
    </row>
    <row r="370">
      <c r="A370" s="5" t="n">
        <v>45747</v>
      </c>
      <c r="B370" t="inlineStr">
        <is>
          <t>PL</t>
        </is>
      </c>
      <c r="C370" t="inlineStr">
        <is>
          <t>CC_CLASSIC</t>
        </is>
      </c>
      <c r="D370" t="inlineStr">
        <is>
          <t>1-29</t>
        </is>
      </c>
      <c r="E370" t="n">
        <v>1</v>
      </c>
      <c r="F370" t="n">
        <v>22</v>
      </c>
      <c r="G370" t="n">
        <v>55548.2</v>
      </c>
      <c r="H370">
        <f>IFERROR(VLOOKUP(C370,Lookups!$A$3:$C$7,3,FALSE),"UNMAPPED")</f>
        <v/>
      </c>
    </row>
    <row r="371">
      <c r="A371" s="5" t="n">
        <v>45747</v>
      </c>
      <c r="B371" t="inlineStr">
        <is>
          <t>PL</t>
        </is>
      </c>
      <c r="C371" t="inlineStr">
        <is>
          <t>CC_CLASSIC</t>
        </is>
      </c>
      <c r="D371" t="inlineStr">
        <is>
          <t>30-59</t>
        </is>
      </c>
      <c r="E371" t="n">
        <v>30</v>
      </c>
      <c r="F371" t="n">
        <v>14</v>
      </c>
      <c r="G371" t="n">
        <v>46138.45</v>
      </c>
      <c r="H371">
        <f>IFERROR(VLOOKUP(C371,Lookups!$A$3:$C$7,3,FALSE),"UNMAPPED")</f>
        <v/>
      </c>
    </row>
    <row r="372">
      <c r="A372" s="5" t="n">
        <v>45747</v>
      </c>
      <c r="B372" t="inlineStr">
        <is>
          <t>PL</t>
        </is>
      </c>
      <c r="C372" t="inlineStr">
        <is>
          <t>CC_CLASSIC</t>
        </is>
      </c>
      <c r="D372" t="inlineStr">
        <is>
          <t>60-89</t>
        </is>
      </c>
      <c r="E372" t="n">
        <v>60</v>
      </c>
      <c r="F372" t="n">
        <v>7</v>
      </c>
      <c r="G372" t="n">
        <v>19887.33</v>
      </c>
      <c r="H372">
        <f>IFERROR(VLOOKUP(C372,Lookups!$A$3:$C$7,3,FALSE),"UNMAPPED")</f>
        <v/>
      </c>
    </row>
    <row r="373">
      <c r="A373" s="5" t="n">
        <v>45747</v>
      </c>
      <c r="B373" t="inlineStr">
        <is>
          <t>PL</t>
        </is>
      </c>
      <c r="C373" t="inlineStr">
        <is>
          <t>CC_CLASSIC</t>
        </is>
      </c>
      <c r="D373" t="inlineStr">
        <is>
          <t>90-179</t>
        </is>
      </c>
      <c r="E373" t="n">
        <v>90</v>
      </c>
      <c r="F373" t="n">
        <v>21</v>
      </c>
      <c r="G373" t="n">
        <v>61564.65</v>
      </c>
      <c r="H373">
        <f>IFERROR(VLOOKUP(C373,Lookups!$A$3:$C$7,3,FALSE),"UNMAPPED")</f>
        <v/>
      </c>
    </row>
    <row r="374">
      <c r="A374" s="5" t="n">
        <v>45747</v>
      </c>
      <c r="B374" t="inlineStr">
        <is>
          <t>PL</t>
        </is>
      </c>
      <c r="C374" t="inlineStr">
        <is>
          <t>CC_CONSOL</t>
        </is>
      </c>
      <c r="D374" t="inlineStr">
        <is>
          <t>Current</t>
        </is>
      </c>
      <c r="E374" t="n">
        <v>0</v>
      </c>
      <c r="F374" t="n">
        <v>13</v>
      </c>
      <c r="G374" t="n">
        <v>396800</v>
      </c>
      <c r="H374">
        <f>IFERROR(VLOOKUP(C374,Lookups!$A$3:$C$7,3,FALSE),"UNMAPPED")</f>
        <v/>
      </c>
    </row>
    <row r="375">
      <c r="A375" s="5" t="n">
        <v>45747</v>
      </c>
      <c r="B375" t="inlineStr">
        <is>
          <t>PL</t>
        </is>
      </c>
      <c r="C375" t="inlineStr">
        <is>
          <t>CC_GOLD</t>
        </is>
      </c>
      <c r="D375" t="inlineStr">
        <is>
          <t>Current</t>
        </is>
      </c>
      <c r="E375" t="n">
        <v>0</v>
      </c>
      <c r="F375" t="n">
        <v>407</v>
      </c>
      <c r="G375" t="n">
        <v>4019108.18</v>
      </c>
      <c r="H375">
        <f>IFERROR(VLOOKUP(C375,Lookups!$A$3:$C$7,3,FALSE),"UNMAPPED")</f>
        <v/>
      </c>
    </row>
    <row r="376">
      <c r="A376" s="5" t="n">
        <v>45747</v>
      </c>
      <c r="B376" t="inlineStr">
        <is>
          <t>PL</t>
        </is>
      </c>
      <c r="C376" t="inlineStr">
        <is>
          <t>CC_GOLD</t>
        </is>
      </c>
      <c r="D376" t="inlineStr">
        <is>
          <t>1-29</t>
        </is>
      </c>
      <c r="E376" t="n">
        <v>1</v>
      </c>
      <c r="F376" t="n">
        <v>5</v>
      </c>
      <c r="G376" t="n">
        <v>65755.75999999999</v>
      </c>
      <c r="H376">
        <f>IFERROR(VLOOKUP(C376,Lookups!$A$3:$C$7,3,FALSE),"UNMAPPED")</f>
        <v/>
      </c>
    </row>
    <row r="377">
      <c r="A377" s="5" t="n">
        <v>45747</v>
      </c>
      <c r="B377" t="inlineStr">
        <is>
          <t>PL</t>
        </is>
      </c>
      <c r="C377" t="inlineStr">
        <is>
          <t>CC_GOLD</t>
        </is>
      </c>
      <c r="D377" t="inlineStr">
        <is>
          <t>30-59</t>
        </is>
      </c>
      <c r="E377" t="n">
        <v>30</v>
      </c>
      <c r="F377" t="n">
        <v>3</v>
      </c>
      <c r="G377" t="n">
        <v>41936.84</v>
      </c>
      <c r="H377">
        <f>IFERROR(VLOOKUP(C377,Lookups!$A$3:$C$7,3,FALSE),"UNMAPPED")</f>
        <v/>
      </c>
    </row>
    <row r="378">
      <c r="A378" s="5" t="n">
        <v>45747</v>
      </c>
      <c r="B378" t="inlineStr">
        <is>
          <t>PL</t>
        </is>
      </c>
      <c r="C378" t="inlineStr">
        <is>
          <t>CC_GOLD</t>
        </is>
      </c>
      <c r="D378" t="inlineStr">
        <is>
          <t>90-179</t>
        </is>
      </c>
      <c r="E378" t="n">
        <v>90</v>
      </c>
      <c r="F378" t="n">
        <v>7</v>
      </c>
      <c r="G378" t="n">
        <v>61130.26</v>
      </c>
      <c r="H378">
        <f>IFERROR(VLOOKUP(C378,Lookups!$A$3:$C$7,3,FALSE),"UNMAPPED")</f>
        <v/>
      </c>
    </row>
    <row r="379">
      <c r="A379" s="5" t="n">
        <v>45747</v>
      </c>
      <c r="B379" t="inlineStr">
        <is>
          <t>PL</t>
        </is>
      </c>
      <c r="C379" t="inlineStr">
        <is>
          <t>PL_PREM</t>
        </is>
      </c>
      <c r="D379" t="inlineStr">
        <is>
          <t>Current</t>
        </is>
      </c>
      <c r="E379" t="n">
        <v>0</v>
      </c>
      <c r="F379" t="n">
        <v>419</v>
      </c>
      <c r="G379" t="n">
        <v>17918326.59</v>
      </c>
      <c r="H379">
        <f>IFERROR(VLOOKUP(C379,Lookups!$A$3:$C$7,3,FALSE),"UNMAPPED")</f>
        <v/>
      </c>
    </row>
    <row r="380">
      <c r="A380" s="5" t="n">
        <v>45747</v>
      </c>
      <c r="B380" t="inlineStr">
        <is>
          <t>PL</t>
        </is>
      </c>
      <c r="C380" t="inlineStr">
        <is>
          <t>PL_PREM</t>
        </is>
      </c>
      <c r="D380" t="inlineStr">
        <is>
          <t>1-29</t>
        </is>
      </c>
      <c r="E380" t="n">
        <v>1</v>
      </c>
      <c r="F380" t="n">
        <v>5</v>
      </c>
      <c r="G380" t="n">
        <v>234728.3</v>
      </c>
      <c r="H380">
        <f>IFERROR(VLOOKUP(C380,Lookups!$A$3:$C$7,3,FALSE),"UNMAPPED")</f>
        <v/>
      </c>
    </row>
    <row r="381">
      <c r="A381" s="5" t="n">
        <v>45747</v>
      </c>
      <c r="B381" t="inlineStr">
        <is>
          <t>PL</t>
        </is>
      </c>
      <c r="C381" t="inlineStr">
        <is>
          <t>PL_PREM</t>
        </is>
      </c>
      <c r="D381" t="inlineStr">
        <is>
          <t>30-59</t>
        </is>
      </c>
      <c r="E381" t="n">
        <v>30</v>
      </c>
      <c r="F381" t="n">
        <v>4</v>
      </c>
      <c r="G381" t="n">
        <v>197365.43</v>
      </c>
      <c r="H381">
        <f>IFERROR(VLOOKUP(C381,Lookups!$A$3:$C$7,3,FALSE),"UNMAPPED")</f>
        <v/>
      </c>
    </row>
    <row r="382">
      <c r="A382" s="5" t="n">
        <v>45747</v>
      </c>
      <c r="B382" t="inlineStr">
        <is>
          <t>PL</t>
        </is>
      </c>
      <c r="C382" t="inlineStr">
        <is>
          <t>PL_PREM</t>
        </is>
      </c>
      <c r="D382" t="inlineStr">
        <is>
          <t>60-89</t>
        </is>
      </c>
      <c r="E382" t="n">
        <v>60</v>
      </c>
      <c r="F382" t="n">
        <v>4</v>
      </c>
      <c r="G382" t="n">
        <v>147777.96</v>
      </c>
      <c r="H382">
        <f>IFERROR(VLOOKUP(C382,Lookups!$A$3:$C$7,3,FALSE),"UNMAPPED")</f>
        <v/>
      </c>
    </row>
    <row r="383">
      <c r="A383" s="5" t="n">
        <v>45747</v>
      </c>
      <c r="B383" t="inlineStr">
        <is>
          <t>PL</t>
        </is>
      </c>
      <c r="C383" t="inlineStr">
        <is>
          <t>PL_PREM</t>
        </is>
      </c>
      <c r="D383" t="inlineStr">
        <is>
          <t>90-179</t>
        </is>
      </c>
      <c r="E383" t="n">
        <v>90</v>
      </c>
      <c r="F383" t="n">
        <v>5</v>
      </c>
      <c r="G383" t="n">
        <v>295039.34</v>
      </c>
      <c r="H383">
        <f>IFERROR(VLOOKUP(C383,Lookups!$A$3:$C$7,3,FALSE),"UNMAPPED")</f>
        <v/>
      </c>
    </row>
    <row r="384">
      <c r="A384" s="5" t="n">
        <v>45747</v>
      </c>
      <c r="B384" t="inlineStr">
        <is>
          <t>PL</t>
        </is>
      </c>
      <c r="C384" t="inlineStr">
        <is>
          <t>PL_STD</t>
        </is>
      </c>
      <c r="D384" t="inlineStr">
        <is>
          <t>Current</t>
        </is>
      </c>
      <c r="E384" t="n">
        <v>0</v>
      </c>
      <c r="F384" t="n">
        <v>1043</v>
      </c>
      <c r="G384" t="n">
        <v>12805089.25</v>
      </c>
      <c r="H384">
        <f>IFERROR(VLOOKUP(C384,Lookups!$A$3:$C$7,3,FALSE),"UNMAPPED")</f>
        <v/>
      </c>
    </row>
    <row r="385">
      <c r="A385" s="5" t="n">
        <v>45747</v>
      </c>
      <c r="B385" t="inlineStr">
        <is>
          <t>PL</t>
        </is>
      </c>
      <c r="C385" t="inlineStr">
        <is>
          <t>PL_STD</t>
        </is>
      </c>
      <c r="D385" t="inlineStr">
        <is>
          <t>1-29</t>
        </is>
      </c>
      <c r="E385" t="n">
        <v>1</v>
      </c>
      <c r="F385" t="n">
        <v>16</v>
      </c>
      <c r="G385" t="n">
        <v>189028.65</v>
      </c>
      <c r="H385">
        <f>IFERROR(VLOOKUP(C385,Lookups!$A$3:$C$7,3,FALSE),"UNMAPPED")</f>
        <v/>
      </c>
    </row>
    <row r="386">
      <c r="A386" s="5" t="n">
        <v>45747</v>
      </c>
      <c r="B386" t="inlineStr">
        <is>
          <t>PL</t>
        </is>
      </c>
      <c r="C386" t="inlineStr">
        <is>
          <t>PL_STD</t>
        </is>
      </c>
      <c r="D386" t="inlineStr">
        <is>
          <t>30-59</t>
        </is>
      </c>
      <c r="E386" t="n">
        <v>30</v>
      </c>
      <c r="F386" t="n">
        <v>11</v>
      </c>
      <c r="G386" t="n">
        <v>137185.19</v>
      </c>
      <c r="H386">
        <f>IFERROR(VLOOKUP(C386,Lookups!$A$3:$C$7,3,FALSE),"UNMAPPED")</f>
        <v/>
      </c>
    </row>
    <row r="387">
      <c r="A387" s="5" t="n">
        <v>45747</v>
      </c>
      <c r="B387" t="inlineStr">
        <is>
          <t>PL</t>
        </is>
      </c>
      <c r="C387" t="inlineStr">
        <is>
          <t>PL_STD</t>
        </is>
      </c>
      <c r="D387" t="inlineStr">
        <is>
          <t>60-89</t>
        </is>
      </c>
      <c r="E387" t="n">
        <v>60</v>
      </c>
      <c r="F387" t="n">
        <v>6</v>
      </c>
      <c r="G387" t="n">
        <v>81929.25999999999</v>
      </c>
      <c r="H387">
        <f>IFERROR(VLOOKUP(C387,Lookups!$A$3:$C$7,3,FALSE),"UNMAPPED")</f>
        <v/>
      </c>
    </row>
    <row r="388">
      <c r="A388" s="5" t="n">
        <v>45747</v>
      </c>
      <c r="B388" t="inlineStr">
        <is>
          <t>PL</t>
        </is>
      </c>
      <c r="C388" t="inlineStr">
        <is>
          <t>PL_STD</t>
        </is>
      </c>
      <c r="D388" t="inlineStr">
        <is>
          <t>90-179</t>
        </is>
      </c>
      <c r="E388" t="n">
        <v>90</v>
      </c>
      <c r="F388" t="n">
        <v>6</v>
      </c>
      <c r="G388" t="n">
        <v>73345.39999999999</v>
      </c>
      <c r="H388">
        <f>IFERROR(VLOOKUP(C388,Lookups!$A$3:$C$7,3,FALSE),"UNMAPPED")</f>
        <v/>
      </c>
    </row>
    <row r="389">
      <c r="A389" s="5" t="n">
        <v>45747</v>
      </c>
      <c r="B389" t="inlineStr">
        <is>
          <t>RO</t>
        </is>
      </c>
      <c r="C389" t="inlineStr">
        <is>
          <t>CC_CLASSIC</t>
        </is>
      </c>
      <c r="D389" t="inlineStr">
        <is>
          <t>Current</t>
        </is>
      </c>
      <c r="E389" t="n">
        <v>0</v>
      </c>
      <c r="F389" t="n">
        <v>728</v>
      </c>
      <c r="G389" t="n">
        <v>2311046.96</v>
      </c>
      <c r="H389">
        <f>IFERROR(VLOOKUP(C389,Lookups!$A$3:$C$7,3,FALSE),"UNMAPPED")</f>
        <v/>
      </c>
    </row>
    <row r="390">
      <c r="A390" s="5" t="n">
        <v>45747</v>
      </c>
      <c r="B390" t="inlineStr">
        <is>
          <t>RO</t>
        </is>
      </c>
      <c r="C390" t="inlineStr">
        <is>
          <t>CC_CLASSIC</t>
        </is>
      </c>
      <c r="D390" t="inlineStr">
        <is>
          <t>1-29</t>
        </is>
      </c>
      <c r="E390" t="n">
        <v>1</v>
      </c>
      <c r="F390" t="n">
        <v>18</v>
      </c>
      <c r="G390" t="n">
        <v>74931.74000000001</v>
      </c>
      <c r="H390">
        <f>IFERROR(VLOOKUP(C390,Lookups!$A$3:$C$7,3,FALSE),"UNMAPPED")</f>
        <v/>
      </c>
    </row>
    <row r="391">
      <c r="A391" s="5" t="n">
        <v>45747</v>
      </c>
      <c r="B391" t="inlineStr">
        <is>
          <t>RO</t>
        </is>
      </c>
      <c r="C391" t="inlineStr">
        <is>
          <t>CC_CLASSIC</t>
        </is>
      </c>
      <c r="D391" t="inlineStr">
        <is>
          <t>30-59</t>
        </is>
      </c>
      <c r="E391" t="n">
        <v>30</v>
      </c>
      <c r="F391" t="n">
        <v>9</v>
      </c>
      <c r="G391" t="n">
        <v>47686.66</v>
      </c>
      <c r="H391">
        <f>IFERROR(VLOOKUP(C391,Lookups!$A$3:$C$7,3,FALSE),"UNMAPPED")</f>
        <v/>
      </c>
    </row>
    <row r="392">
      <c r="A392" s="5" t="n">
        <v>45747</v>
      </c>
      <c r="B392" t="inlineStr">
        <is>
          <t>RO</t>
        </is>
      </c>
      <c r="C392" t="inlineStr">
        <is>
          <t>CC_CLASSIC</t>
        </is>
      </c>
      <c r="D392" t="inlineStr">
        <is>
          <t>60-89</t>
        </is>
      </c>
      <c r="E392" t="n">
        <v>60</v>
      </c>
      <c r="F392" t="n">
        <v>7</v>
      </c>
      <c r="G392" t="n">
        <v>34107.77</v>
      </c>
      <c r="H392">
        <f>IFERROR(VLOOKUP(C392,Lookups!$A$3:$C$7,3,FALSE),"UNMAPPED")</f>
        <v/>
      </c>
    </row>
    <row r="393">
      <c r="A393" s="5" t="n">
        <v>45747</v>
      </c>
      <c r="B393" t="inlineStr">
        <is>
          <t>RO</t>
        </is>
      </c>
      <c r="C393" t="inlineStr">
        <is>
          <t>CC_CLASSIC</t>
        </is>
      </c>
      <c r="D393" t="inlineStr">
        <is>
          <t>90-179</t>
        </is>
      </c>
      <c r="E393" t="n">
        <v>90</v>
      </c>
      <c r="F393" t="n">
        <v>11</v>
      </c>
      <c r="G393" t="n">
        <v>41701.92</v>
      </c>
      <c r="H393">
        <f>IFERROR(VLOOKUP(C393,Lookups!$A$3:$C$7,3,FALSE),"UNMAPPED")</f>
        <v/>
      </c>
    </row>
    <row r="394">
      <c r="A394" s="5" t="n">
        <v>45747</v>
      </c>
      <c r="B394" t="inlineStr">
        <is>
          <t>RO</t>
        </is>
      </c>
      <c r="C394" t="inlineStr">
        <is>
          <t>CC_CONSOL</t>
        </is>
      </c>
      <c r="D394" t="inlineStr">
        <is>
          <t>Current</t>
        </is>
      </c>
      <c r="E394" t="n">
        <v>0</v>
      </c>
      <c r="F394" t="n">
        <v>7</v>
      </c>
      <c r="G394" t="n">
        <v>279500</v>
      </c>
      <c r="H394">
        <f>IFERROR(VLOOKUP(C394,Lookups!$A$3:$C$7,3,FALSE),"UNMAPPED")</f>
        <v/>
      </c>
    </row>
    <row r="395">
      <c r="A395" s="5" t="n">
        <v>45747</v>
      </c>
      <c r="B395" t="inlineStr">
        <is>
          <t>RO</t>
        </is>
      </c>
      <c r="C395" t="inlineStr">
        <is>
          <t>CC_GOLD</t>
        </is>
      </c>
      <c r="D395" t="inlineStr">
        <is>
          <t>Current</t>
        </is>
      </c>
      <c r="E395" t="n">
        <v>0</v>
      </c>
      <c r="F395" t="n">
        <v>196</v>
      </c>
      <c r="G395" t="n">
        <v>2313792.9</v>
      </c>
      <c r="H395">
        <f>IFERROR(VLOOKUP(C395,Lookups!$A$3:$C$7,3,FALSE),"UNMAPPED")</f>
        <v/>
      </c>
    </row>
    <row r="396">
      <c r="A396" s="5" t="n">
        <v>45747</v>
      </c>
      <c r="B396" t="inlineStr">
        <is>
          <t>RO</t>
        </is>
      </c>
      <c r="C396" t="inlineStr">
        <is>
          <t>CC_GOLD</t>
        </is>
      </c>
      <c r="D396" t="inlineStr">
        <is>
          <t>1-29</t>
        </is>
      </c>
      <c r="E396" t="n">
        <v>1</v>
      </c>
      <c r="F396" t="n">
        <v>3</v>
      </c>
      <c r="G396" t="n">
        <v>47904.36</v>
      </c>
      <c r="H396">
        <f>IFERROR(VLOOKUP(C396,Lookups!$A$3:$C$7,3,FALSE),"UNMAPPED")</f>
        <v/>
      </c>
    </row>
    <row r="397">
      <c r="A397" s="5" t="n">
        <v>45747</v>
      </c>
      <c r="B397" t="inlineStr">
        <is>
          <t>RO</t>
        </is>
      </c>
      <c r="C397" t="inlineStr">
        <is>
          <t>CC_GOLD</t>
        </is>
      </c>
      <c r="D397" t="inlineStr">
        <is>
          <t>30-59</t>
        </is>
      </c>
      <c r="E397" t="n">
        <v>30</v>
      </c>
      <c r="F397" t="n">
        <v>2</v>
      </c>
      <c r="G397" t="n">
        <v>17202.63</v>
      </c>
      <c r="H397">
        <f>IFERROR(VLOOKUP(C397,Lookups!$A$3:$C$7,3,FALSE),"UNMAPPED")</f>
        <v/>
      </c>
    </row>
    <row r="398">
      <c r="A398" s="5" t="n">
        <v>45747</v>
      </c>
      <c r="B398" t="inlineStr">
        <is>
          <t>RO</t>
        </is>
      </c>
      <c r="C398" t="inlineStr">
        <is>
          <t>CC_GOLD</t>
        </is>
      </c>
      <c r="D398" t="inlineStr">
        <is>
          <t>60-89</t>
        </is>
      </c>
      <c r="E398" t="n">
        <v>60</v>
      </c>
      <c r="F398" t="n">
        <v>4</v>
      </c>
      <c r="G398" t="n">
        <v>23310.5</v>
      </c>
      <c r="H398">
        <f>IFERROR(VLOOKUP(C398,Lookups!$A$3:$C$7,3,FALSE),"UNMAPPED")</f>
        <v/>
      </c>
    </row>
    <row r="399">
      <c r="A399" s="5" t="n">
        <v>45747</v>
      </c>
      <c r="B399" t="inlineStr">
        <is>
          <t>RO</t>
        </is>
      </c>
      <c r="C399" t="inlineStr">
        <is>
          <t>CC_GOLD</t>
        </is>
      </c>
      <c r="D399" t="inlineStr">
        <is>
          <t>90-179</t>
        </is>
      </c>
      <c r="E399" t="n">
        <v>90</v>
      </c>
      <c r="F399" t="n">
        <v>4</v>
      </c>
      <c r="G399" t="n">
        <v>43788.59</v>
      </c>
      <c r="H399">
        <f>IFERROR(VLOOKUP(C399,Lookups!$A$3:$C$7,3,FALSE),"UNMAPPED")</f>
        <v/>
      </c>
    </row>
    <row r="400">
      <c r="A400" s="5" t="n">
        <v>45747</v>
      </c>
      <c r="B400" t="inlineStr">
        <is>
          <t>RO</t>
        </is>
      </c>
      <c r="C400" t="inlineStr">
        <is>
          <t>PL_PREM</t>
        </is>
      </c>
      <c r="D400" t="inlineStr">
        <is>
          <t>Current</t>
        </is>
      </c>
      <c r="E400" t="n">
        <v>0</v>
      </c>
      <c r="F400" t="n">
        <v>262</v>
      </c>
      <c r="G400" t="n">
        <v>13102449.88</v>
      </c>
      <c r="H400">
        <f>IFERROR(VLOOKUP(C400,Lookups!$A$3:$C$7,3,FALSE),"UNMAPPED")</f>
        <v/>
      </c>
    </row>
    <row r="401">
      <c r="A401" s="5" t="n">
        <v>45747</v>
      </c>
      <c r="B401" t="inlineStr">
        <is>
          <t>RO</t>
        </is>
      </c>
      <c r="C401" t="inlineStr">
        <is>
          <t>PL_PREM</t>
        </is>
      </c>
      <c r="D401" t="inlineStr">
        <is>
          <t>1-29</t>
        </is>
      </c>
      <c r="E401" t="n">
        <v>1</v>
      </c>
      <c r="F401" t="n">
        <v>5</v>
      </c>
      <c r="G401" t="n">
        <v>176845.31</v>
      </c>
      <c r="H401">
        <f>IFERROR(VLOOKUP(C401,Lookups!$A$3:$C$7,3,FALSE),"UNMAPPED")</f>
        <v/>
      </c>
    </row>
    <row r="402">
      <c r="A402" s="5" t="n">
        <v>45747</v>
      </c>
      <c r="B402" t="inlineStr">
        <is>
          <t>RO</t>
        </is>
      </c>
      <c r="C402" t="inlineStr">
        <is>
          <t>PL_PREM</t>
        </is>
      </c>
      <c r="D402" t="inlineStr">
        <is>
          <t>30-59</t>
        </is>
      </c>
      <c r="E402" t="n">
        <v>30</v>
      </c>
      <c r="F402" t="n">
        <v>2</v>
      </c>
      <c r="G402" t="n">
        <v>59873.24</v>
      </c>
      <c r="H402">
        <f>IFERROR(VLOOKUP(C402,Lookups!$A$3:$C$7,3,FALSE),"UNMAPPED")</f>
        <v/>
      </c>
    </row>
    <row r="403">
      <c r="A403" s="5" t="n">
        <v>45747</v>
      </c>
      <c r="B403" t="inlineStr">
        <is>
          <t>RO</t>
        </is>
      </c>
      <c r="C403" t="inlineStr">
        <is>
          <t>PL_PREM</t>
        </is>
      </c>
      <c r="D403" t="inlineStr">
        <is>
          <t>60-89</t>
        </is>
      </c>
      <c r="E403" t="n">
        <v>60</v>
      </c>
      <c r="F403" t="n">
        <v>3</v>
      </c>
      <c r="G403" t="n">
        <v>102669.38</v>
      </c>
      <c r="H403">
        <f>IFERROR(VLOOKUP(C403,Lookups!$A$3:$C$7,3,FALSE),"UNMAPPED")</f>
        <v/>
      </c>
    </row>
    <row r="404">
      <c r="A404" s="5" t="n">
        <v>45747</v>
      </c>
      <c r="B404" t="inlineStr">
        <is>
          <t>RO</t>
        </is>
      </c>
      <c r="C404" t="inlineStr">
        <is>
          <t>PL_PREM</t>
        </is>
      </c>
      <c r="D404" t="inlineStr">
        <is>
          <t>90-179</t>
        </is>
      </c>
      <c r="E404" t="n">
        <v>90</v>
      </c>
      <c r="F404" t="n">
        <v>1</v>
      </c>
      <c r="G404" t="n">
        <v>93594.38</v>
      </c>
      <c r="H404">
        <f>IFERROR(VLOOKUP(C404,Lookups!$A$3:$C$7,3,FALSE),"UNMAPPED")</f>
        <v/>
      </c>
    </row>
    <row r="405">
      <c r="A405" s="5" t="n">
        <v>45747</v>
      </c>
      <c r="B405" t="inlineStr">
        <is>
          <t>RO</t>
        </is>
      </c>
      <c r="C405" t="inlineStr">
        <is>
          <t>PL_STD</t>
        </is>
      </c>
      <c r="D405" t="inlineStr">
        <is>
          <t>Current</t>
        </is>
      </c>
      <c r="E405" t="n">
        <v>0</v>
      </c>
      <c r="F405" t="n">
        <v>682</v>
      </c>
      <c r="G405" t="n">
        <v>10991175.65</v>
      </c>
      <c r="H405">
        <f>IFERROR(VLOOKUP(C405,Lookups!$A$3:$C$7,3,FALSE),"UNMAPPED")</f>
        <v/>
      </c>
    </row>
    <row r="406">
      <c r="A406" s="5" t="n">
        <v>45747</v>
      </c>
      <c r="B406" t="inlineStr">
        <is>
          <t>RO</t>
        </is>
      </c>
      <c r="C406" t="inlineStr">
        <is>
          <t>PL_STD</t>
        </is>
      </c>
      <c r="D406" t="inlineStr">
        <is>
          <t>1-29</t>
        </is>
      </c>
      <c r="E406" t="n">
        <v>1</v>
      </c>
      <c r="F406" t="n">
        <v>10</v>
      </c>
      <c r="G406" t="n">
        <v>119500.27</v>
      </c>
      <c r="H406">
        <f>IFERROR(VLOOKUP(C406,Lookups!$A$3:$C$7,3,FALSE),"UNMAPPED")</f>
        <v/>
      </c>
    </row>
    <row r="407">
      <c r="A407" s="5" t="n">
        <v>45747</v>
      </c>
      <c r="B407" t="inlineStr">
        <is>
          <t>RO</t>
        </is>
      </c>
      <c r="C407" t="inlineStr">
        <is>
          <t>PL_STD</t>
        </is>
      </c>
      <c r="D407" t="inlineStr">
        <is>
          <t>30-59</t>
        </is>
      </c>
      <c r="E407" t="n">
        <v>30</v>
      </c>
      <c r="F407" t="n">
        <v>7</v>
      </c>
      <c r="G407" t="n">
        <v>53919.26</v>
      </c>
      <c r="H407">
        <f>IFERROR(VLOOKUP(C407,Lookups!$A$3:$C$7,3,FALSE),"UNMAPPED")</f>
        <v/>
      </c>
    </row>
    <row r="408">
      <c r="A408" s="5" t="n">
        <v>45747</v>
      </c>
      <c r="B408" t="inlineStr">
        <is>
          <t>RO</t>
        </is>
      </c>
      <c r="C408" t="inlineStr">
        <is>
          <t>PL_STD</t>
        </is>
      </c>
      <c r="D408" t="inlineStr">
        <is>
          <t>60-89</t>
        </is>
      </c>
      <c r="E408" t="n">
        <v>60</v>
      </c>
      <c r="F408" t="n">
        <v>6</v>
      </c>
      <c r="G408" t="n">
        <v>68496.92</v>
      </c>
      <c r="H408">
        <f>IFERROR(VLOOKUP(C408,Lookups!$A$3:$C$7,3,FALSE),"UNMAPPED")</f>
        <v/>
      </c>
    </row>
    <row r="409">
      <c r="A409" s="5" t="n">
        <v>45747</v>
      </c>
      <c r="B409" t="inlineStr">
        <is>
          <t>RO</t>
        </is>
      </c>
      <c r="C409" t="inlineStr">
        <is>
          <t>PL_STD</t>
        </is>
      </c>
      <c r="D409" t="inlineStr">
        <is>
          <t>90-179</t>
        </is>
      </c>
      <c r="E409" t="n">
        <v>90</v>
      </c>
      <c r="F409" t="n">
        <v>3</v>
      </c>
      <c r="G409" t="n">
        <v>35998.42</v>
      </c>
      <c r="H409">
        <f>IFERROR(VLOOKUP(C409,Lookups!$A$3:$C$7,3,FALSE),"UNMAPPED")</f>
        <v/>
      </c>
    </row>
    <row r="410">
      <c r="A410" s="5" t="n">
        <v>45777</v>
      </c>
      <c r="B410" t="inlineStr">
        <is>
          <t>CZ</t>
        </is>
      </c>
      <c r="C410" t="inlineStr">
        <is>
          <t>CC_CLASSIC</t>
        </is>
      </c>
      <c r="D410" t="inlineStr">
        <is>
          <t>Current</t>
        </is>
      </c>
      <c r="E410" t="n">
        <v>0</v>
      </c>
      <c r="F410" t="n">
        <v>1060</v>
      </c>
      <c r="G410" t="n">
        <v>16876669.58</v>
      </c>
      <c r="H410">
        <f>IFERROR(VLOOKUP(C410,Lookups!$A$3:$C$7,3,FALSE),"UNMAPPED")</f>
        <v/>
      </c>
    </row>
    <row r="411">
      <c r="A411" s="5" t="n">
        <v>45777</v>
      </c>
      <c r="B411" t="inlineStr">
        <is>
          <t>CZ</t>
        </is>
      </c>
      <c r="C411" t="inlineStr">
        <is>
          <t>CC_CLASSIC</t>
        </is>
      </c>
      <c r="D411" t="inlineStr">
        <is>
          <t>1-29</t>
        </is>
      </c>
      <c r="E411" t="n">
        <v>1</v>
      </c>
      <c r="F411" t="n">
        <v>7</v>
      </c>
      <c r="G411" t="n">
        <v>89207.64</v>
      </c>
      <c r="H411">
        <f>IFERROR(VLOOKUP(C411,Lookups!$A$3:$C$7,3,FALSE),"UNMAPPED")</f>
        <v/>
      </c>
    </row>
    <row r="412">
      <c r="A412" s="5" t="n">
        <v>45777</v>
      </c>
      <c r="B412" t="inlineStr">
        <is>
          <t>CZ</t>
        </is>
      </c>
      <c r="C412" t="inlineStr">
        <is>
          <t>CC_CLASSIC</t>
        </is>
      </c>
      <c r="D412" t="inlineStr">
        <is>
          <t>30-59</t>
        </is>
      </c>
      <c r="E412" t="n">
        <v>30</v>
      </c>
      <c r="F412" t="n">
        <v>6</v>
      </c>
      <c r="G412" t="n">
        <v>78895.81</v>
      </c>
      <c r="H412">
        <f>IFERROR(VLOOKUP(C412,Lookups!$A$3:$C$7,3,FALSE),"UNMAPPED")</f>
        <v/>
      </c>
    </row>
    <row r="413">
      <c r="A413" s="5" t="n">
        <v>45777</v>
      </c>
      <c r="B413" t="inlineStr">
        <is>
          <t>CZ</t>
        </is>
      </c>
      <c r="C413" t="inlineStr">
        <is>
          <t>CC_CLASSIC</t>
        </is>
      </c>
      <c r="D413" t="inlineStr">
        <is>
          <t>60-89</t>
        </is>
      </c>
      <c r="E413" t="n">
        <v>60</v>
      </c>
      <c r="F413" t="n">
        <v>10</v>
      </c>
      <c r="G413" t="n">
        <v>162426.77</v>
      </c>
      <c r="H413">
        <f>IFERROR(VLOOKUP(C413,Lookups!$A$3:$C$7,3,FALSE),"UNMAPPED")</f>
        <v/>
      </c>
    </row>
    <row r="414">
      <c r="A414" s="5" t="n">
        <v>45777</v>
      </c>
      <c r="B414" t="inlineStr">
        <is>
          <t>CZ</t>
        </is>
      </c>
      <c r="C414" t="inlineStr">
        <is>
          <t>CC_CLASSIC</t>
        </is>
      </c>
      <c r="D414" t="inlineStr">
        <is>
          <t>90-179</t>
        </is>
      </c>
      <c r="E414" t="n">
        <v>90</v>
      </c>
      <c r="F414" t="n">
        <v>15</v>
      </c>
      <c r="G414" t="n">
        <v>395366.93</v>
      </c>
      <c r="H414">
        <f>IFERROR(VLOOKUP(C414,Lookups!$A$3:$C$7,3,FALSE),"UNMAPPED")</f>
        <v/>
      </c>
    </row>
    <row r="415">
      <c r="A415" s="5" t="n">
        <v>45777</v>
      </c>
      <c r="B415" t="inlineStr">
        <is>
          <t>CZ</t>
        </is>
      </c>
      <c r="C415" t="inlineStr">
        <is>
          <t>CC_CONSOL</t>
        </is>
      </c>
      <c r="D415" t="inlineStr">
        <is>
          <t>Current</t>
        </is>
      </c>
      <c r="E415" t="n">
        <v>0</v>
      </c>
      <c r="F415" t="n">
        <v>16</v>
      </c>
      <c r="G415" t="n">
        <v>2639877.81</v>
      </c>
      <c r="H415">
        <f>IFERROR(VLOOKUP(C415,Lookups!$A$3:$C$7,3,FALSE),"UNMAPPED")</f>
        <v/>
      </c>
    </row>
    <row r="416">
      <c r="A416" s="5" t="n">
        <v>45777</v>
      </c>
      <c r="B416" t="inlineStr">
        <is>
          <t>CZ</t>
        </is>
      </c>
      <c r="C416" t="inlineStr">
        <is>
          <t>CC_GOLD</t>
        </is>
      </c>
      <c r="D416" t="inlineStr">
        <is>
          <t>Current</t>
        </is>
      </c>
      <c r="E416" t="n">
        <v>0</v>
      </c>
      <c r="F416" t="n">
        <v>290</v>
      </c>
      <c r="G416" t="n">
        <v>16390703.71</v>
      </c>
      <c r="H416">
        <f>IFERROR(VLOOKUP(C416,Lookups!$A$3:$C$7,3,FALSE),"UNMAPPED")</f>
        <v/>
      </c>
    </row>
    <row r="417">
      <c r="A417" s="5" t="n">
        <v>45777</v>
      </c>
      <c r="B417" t="inlineStr">
        <is>
          <t>CZ</t>
        </is>
      </c>
      <c r="C417" t="inlineStr">
        <is>
          <t>CC_GOLD</t>
        </is>
      </c>
      <c r="D417" t="inlineStr">
        <is>
          <t>1-29</t>
        </is>
      </c>
      <c r="E417" t="n">
        <v>1</v>
      </c>
      <c r="F417" t="n">
        <v>4</v>
      </c>
      <c r="G417" t="n">
        <v>94222.98</v>
      </c>
      <c r="H417">
        <f>IFERROR(VLOOKUP(C417,Lookups!$A$3:$C$7,3,FALSE),"UNMAPPED")</f>
        <v/>
      </c>
    </row>
    <row r="418">
      <c r="A418" s="5" t="n">
        <v>45777</v>
      </c>
      <c r="B418" t="inlineStr">
        <is>
          <t>CZ</t>
        </is>
      </c>
      <c r="C418" t="inlineStr">
        <is>
          <t>CC_GOLD</t>
        </is>
      </c>
      <c r="D418" t="inlineStr">
        <is>
          <t>30-59</t>
        </is>
      </c>
      <c r="E418" t="n">
        <v>30</v>
      </c>
      <c r="F418" t="n">
        <v>2</v>
      </c>
      <c r="G418" t="n">
        <v>123892.67</v>
      </c>
      <c r="H418">
        <f>IFERROR(VLOOKUP(C418,Lookups!$A$3:$C$7,3,FALSE),"UNMAPPED")</f>
        <v/>
      </c>
    </row>
    <row r="419">
      <c r="A419" s="5" t="n">
        <v>45777</v>
      </c>
      <c r="B419" t="inlineStr">
        <is>
          <t>CZ</t>
        </is>
      </c>
      <c r="C419" t="inlineStr">
        <is>
          <t>CC_GOLD</t>
        </is>
      </c>
      <c r="D419" t="inlineStr">
        <is>
          <t>60-89</t>
        </is>
      </c>
      <c r="E419" t="n">
        <v>60</v>
      </c>
      <c r="F419" t="n">
        <v>1</v>
      </c>
      <c r="G419" t="n">
        <v>107962.54</v>
      </c>
      <c r="H419">
        <f>IFERROR(VLOOKUP(C419,Lookups!$A$3:$C$7,3,FALSE),"UNMAPPED")</f>
        <v/>
      </c>
    </row>
    <row r="420">
      <c r="A420" s="5" t="n">
        <v>45777</v>
      </c>
      <c r="B420" t="inlineStr">
        <is>
          <t>CZ</t>
        </is>
      </c>
      <c r="C420" t="inlineStr">
        <is>
          <t>CC_GOLD</t>
        </is>
      </c>
      <c r="D420" t="inlineStr">
        <is>
          <t>90-179</t>
        </is>
      </c>
      <c r="E420" t="n">
        <v>90</v>
      </c>
      <c r="F420" t="n">
        <v>6</v>
      </c>
      <c r="G420" t="n">
        <v>328206.89</v>
      </c>
      <c r="H420">
        <f>IFERROR(VLOOKUP(C420,Lookups!$A$3:$C$7,3,FALSE),"UNMAPPED")</f>
        <v/>
      </c>
    </row>
    <row r="421">
      <c r="A421" s="5" t="n">
        <v>45777</v>
      </c>
      <c r="B421" t="inlineStr">
        <is>
          <t>CZ</t>
        </is>
      </c>
      <c r="C421" t="inlineStr">
        <is>
          <t>PL_PREM</t>
        </is>
      </c>
      <c r="D421" t="inlineStr">
        <is>
          <t>Current</t>
        </is>
      </c>
      <c r="E421" t="n">
        <v>0</v>
      </c>
      <c r="F421" t="n">
        <v>294</v>
      </c>
      <c r="G421" t="n">
        <v>69303253.26000001</v>
      </c>
      <c r="H421">
        <f>IFERROR(VLOOKUP(C421,Lookups!$A$3:$C$7,3,FALSE),"UNMAPPED")</f>
        <v/>
      </c>
    </row>
    <row r="422">
      <c r="A422" s="5" t="n">
        <v>45777</v>
      </c>
      <c r="B422" t="inlineStr">
        <is>
          <t>CZ</t>
        </is>
      </c>
      <c r="C422" t="inlineStr">
        <is>
          <t>PL_PREM</t>
        </is>
      </c>
      <c r="D422" t="inlineStr">
        <is>
          <t>1-29</t>
        </is>
      </c>
      <c r="E422" t="n">
        <v>1</v>
      </c>
      <c r="F422" t="n">
        <v>7</v>
      </c>
      <c r="G422" t="n">
        <v>1993742.7</v>
      </c>
      <c r="H422">
        <f>IFERROR(VLOOKUP(C422,Lookups!$A$3:$C$7,3,FALSE),"UNMAPPED")</f>
        <v/>
      </c>
    </row>
    <row r="423">
      <c r="A423" s="5" t="n">
        <v>45777</v>
      </c>
      <c r="B423" t="inlineStr">
        <is>
          <t>CZ</t>
        </is>
      </c>
      <c r="C423" t="inlineStr">
        <is>
          <t>PL_PREM</t>
        </is>
      </c>
      <c r="D423" t="inlineStr">
        <is>
          <t>30-59</t>
        </is>
      </c>
      <c r="E423" t="n">
        <v>30</v>
      </c>
      <c r="F423" t="n">
        <v>1</v>
      </c>
      <c r="G423" t="n">
        <v>279957.71</v>
      </c>
      <c r="H423">
        <f>IFERROR(VLOOKUP(C423,Lookups!$A$3:$C$7,3,FALSE),"UNMAPPED")</f>
        <v/>
      </c>
    </row>
    <row r="424">
      <c r="A424" s="5" t="n">
        <v>45777</v>
      </c>
      <c r="B424" t="inlineStr">
        <is>
          <t>CZ</t>
        </is>
      </c>
      <c r="C424" t="inlineStr">
        <is>
          <t>PL_PREM</t>
        </is>
      </c>
      <c r="D424" t="inlineStr">
        <is>
          <t>60-89</t>
        </is>
      </c>
      <c r="E424" t="n">
        <v>60</v>
      </c>
      <c r="F424" t="n">
        <v>2</v>
      </c>
      <c r="G424" t="n">
        <v>514478.97</v>
      </c>
      <c r="H424">
        <f>IFERROR(VLOOKUP(C424,Lookups!$A$3:$C$7,3,FALSE),"UNMAPPED")</f>
        <v/>
      </c>
    </row>
    <row r="425">
      <c r="A425" s="5" t="n">
        <v>45777</v>
      </c>
      <c r="B425" t="inlineStr">
        <is>
          <t>CZ</t>
        </is>
      </c>
      <c r="C425" t="inlineStr">
        <is>
          <t>PL_PREM</t>
        </is>
      </c>
      <c r="D425" t="inlineStr">
        <is>
          <t>90-179</t>
        </is>
      </c>
      <c r="E425" t="n">
        <v>90</v>
      </c>
      <c r="F425" t="n">
        <v>6</v>
      </c>
      <c r="G425" t="n">
        <v>1801876.22</v>
      </c>
      <c r="H425">
        <f>IFERROR(VLOOKUP(C425,Lookups!$A$3:$C$7,3,FALSE),"UNMAPPED")</f>
        <v/>
      </c>
    </row>
    <row r="426">
      <c r="A426" s="5" t="n">
        <v>45777</v>
      </c>
      <c r="B426" t="inlineStr">
        <is>
          <t>CZ</t>
        </is>
      </c>
      <c r="C426" t="inlineStr">
        <is>
          <t>PL_STD</t>
        </is>
      </c>
      <c r="D426" t="inlineStr">
        <is>
          <t>Current</t>
        </is>
      </c>
      <c r="E426" t="n">
        <v>0</v>
      </c>
      <c r="F426" t="n">
        <v>775</v>
      </c>
      <c r="G426" t="n">
        <v>56673046.93</v>
      </c>
      <c r="H426">
        <f>IFERROR(VLOOKUP(C426,Lookups!$A$3:$C$7,3,FALSE),"UNMAPPED")</f>
        <v/>
      </c>
    </row>
    <row r="427">
      <c r="A427" s="5" t="n">
        <v>45777</v>
      </c>
      <c r="B427" t="inlineStr">
        <is>
          <t>CZ</t>
        </is>
      </c>
      <c r="C427" t="inlineStr">
        <is>
          <t>PL_STD</t>
        </is>
      </c>
      <c r="D427" t="inlineStr">
        <is>
          <t>1-29</t>
        </is>
      </c>
      <c r="E427" t="n">
        <v>1</v>
      </c>
      <c r="F427" t="n">
        <v>11</v>
      </c>
      <c r="G427" t="n">
        <v>603046.34</v>
      </c>
      <c r="H427">
        <f>IFERROR(VLOOKUP(C427,Lookups!$A$3:$C$7,3,FALSE),"UNMAPPED")</f>
        <v/>
      </c>
    </row>
    <row r="428">
      <c r="A428" s="5" t="n">
        <v>45777</v>
      </c>
      <c r="B428" t="inlineStr">
        <is>
          <t>CZ</t>
        </is>
      </c>
      <c r="C428" t="inlineStr">
        <is>
          <t>PL_STD</t>
        </is>
      </c>
      <c r="D428" t="inlineStr">
        <is>
          <t>30-59</t>
        </is>
      </c>
      <c r="E428" t="n">
        <v>30</v>
      </c>
      <c r="F428" t="n">
        <v>3</v>
      </c>
      <c r="G428" t="n">
        <v>343834.46</v>
      </c>
      <c r="H428">
        <f>IFERROR(VLOOKUP(C428,Lookups!$A$3:$C$7,3,FALSE),"UNMAPPED")</f>
        <v/>
      </c>
    </row>
    <row r="429">
      <c r="A429" s="5" t="n">
        <v>45777</v>
      </c>
      <c r="B429" t="inlineStr">
        <is>
          <t>CZ</t>
        </is>
      </c>
      <c r="C429" t="inlineStr">
        <is>
          <t>PL_STD</t>
        </is>
      </c>
      <c r="D429" t="inlineStr">
        <is>
          <t>60-89</t>
        </is>
      </c>
      <c r="E429" t="n">
        <v>60</v>
      </c>
      <c r="F429" t="n">
        <v>7</v>
      </c>
      <c r="G429" t="n">
        <v>530825.63</v>
      </c>
      <c r="H429">
        <f>IFERROR(VLOOKUP(C429,Lookups!$A$3:$C$7,3,FALSE),"UNMAPPED")</f>
        <v/>
      </c>
    </row>
    <row r="430">
      <c r="A430" s="5" t="n">
        <v>45777</v>
      </c>
      <c r="B430" t="inlineStr">
        <is>
          <t>CZ</t>
        </is>
      </c>
      <c r="C430" t="inlineStr">
        <is>
          <t>PL_STD</t>
        </is>
      </c>
      <c r="D430" t="inlineStr">
        <is>
          <t>90-179</t>
        </is>
      </c>
      <c r="E430" t="n">
        <v>90</v>
      </c>
      <c r="F430" t="n">
        <v>12</v>
      </c>
      <c r="G430" t="n">
        <v>790935.2</v>
      </c>
      <c r="H430">
        <f>IFERROR(VLOOKUP(C430,Lookups!$A$3:$C$7,3,FALSE),"UNMAPPED")</f>
        <v/>
      </c>
    </row>
    <row r="431">
      <c r="A431" s="5" t="n">
        <v>45777</v>
      </c>
      <c r="B431" t="inlineStr">
        <is>
          <t>PL</t>
        </is>
      </c>
      <c r="C431" t="inlineStr">
        <is>
          <t>CC_CLASSIC</t>
        </is>
      </c>
      <c r="D431" t="inlineStr">
        <is>
          <t>Current</t>
        </is>
      </c>
      <c r="E431" t="n">
        <v>0</v>
      </c>
      <c r="F431" t="n">
        <v>1410</v>
      </c>
      <c r="G431" t="n">
        <v>3920192.06</v>
      </c>
      <c r="H431">
        <f>IFERROR(VLOOKUP(C431,Lookups!$A$3:$C$7,3,FALSE),"UNMAPPED")</f>
        <v/>
      </c>
    </row>
    <row r="432">
      <c r="A432" s="5" t="n">
        <v>45777</v>
      </c>
      <c r="B432" t="inlineStr">
        <is>
          <t>PL</t>
        </is>
      </c>
      <c r="C432" t="inlineStr">
        <is>
          <t>CC_CLASSIC</t>
        </is>
      </c>
      <c r="D432" t="inlineStr">
        <is>
          <t>1-29</t>
        </is>
      </c>
      <c r="E432" t="n">
        <v>1</v>
      </c>
      <c r="F432" t="n">
        <v>17</v>
      </c>
      <c r="G432" t="n">
        <v>47709.65</v>
      </c>
      <c r="H432">
        <f>IFERROR(VLOOKUP(C432,Lookups!$A$3:$C$7,3,FALSE),"UNMAPPED")</f>
        <v/>
      </c>
    </row>
    <row r="433">
      <c r="A433" s="5" t="n">
        <v>45777</v>
      </c>
      <c r="B433" t="inlineStr">
        <is>
          <t>PL</t>
        </is>
      </c>
      <c r="C433" t="inlineStr">
        <is>
          <t>CC_CLASSIC</t>
        </is>
      </c>
      <c r="D433" t="inlineStr">
        <is>
          <t>30-59</t>
        </is>
      </c>
      <c r="E433" t="n">
        <v>30</v>
      </c>
      <c r="F433" t="n">
        <v>11</v>
      </c>
      <c r="G433" t="n">
        <v>27697.98</v>
      </c>
      <c r="H433">
        <f>IFERROR(VLOOKUP(C433,Lookups!$A$3:$C$7,3,FALSE),"UNMAPPED")</f>
        <v/>
      </c>
    </row>
    <row r="434">
      <c r="A434" s="5" t="n">
        <v>45777</v>
      </c>
      <c r="B434" t="inlineStr">
        <is>
          <t>PL</t>
        </is>
      </c>
      <c r="C434" t="inlineStr">
        <is>
          <t>CC_CLASSIC</t>
        </is>
      </c>
      <c r="D434" t="inlineStr">
        <is>
          <t>60-89</t>
        </is>
      </c>
      <c r="E434" t="n">
        <v>60</v>
      </c>
      <c r="F434" t="n">
        <v>12</v>
      </c>
      <c r="G434" t="n">
        <v>45445.62</v>
      </c>
      <c r="H434">
        <f>IFERROR(VLOOKUP(C434,Lookups!$A$3:$C$7,3,FALSE),"UNMAPPED")</f>
        <v/>
      </c>
    </row>
    <row r="435">
      <c r="A435" s="5" t="n">
        <v>45777</v>
      </c>
      <c r="B435" t="inlineStr">
        <is>
          <t>PL</t>
        </is>
      </c>
      <c r="C435" t="inlineStr">
        <is>
          <t>CC_CLASSIC</t>
        </is>
      </c>
      <c r="D435" t="inlineStr">
        <is>
          <t>90-179</t>
        </is>
      </c>
      <c r="E435" t="n">
        <v>90</v>
      </c>
      <c r="F435" t="n">
        <v>23</v>
      </c>
      <c r="G435" t="n">
        <v>69274.13</v>
      </c>
      <c r="H435">
        <f>IFERROR(VLOOKUP(C435,Lookups!$A$3:$C$7,3,FALSE),"UNMAPPED")</f>
        <v/>
      </c>
    </row>
    <row r="436">
      <c r="A436" s="5" t="n">
        <v>45777</v>
      </c>
      <c r="B436" t="inlineStr">
        <is>
          <t>PL</t>
        </is>
      </c>
      <c r="C436" t="inlineStr">
        <is>
          <t>CC_CONSOL</t>
        </is>
      </c>
      <c r="D436" t="inlineStr">
        <is>
          <t>Current</t>
        </is>
      </c>
      <c r="E436" t="n">
        <v>0</v>
      </c>
      <c r="F436" t="n">
        <v>22</v>
      </c>
      <c r="G436" t="n">
        <v>698855.29</v>
      </c>
      <c r="H436">
        <f>IFERROR(VLOOKUP(C436,Lookups!$A$3:$C$7,3,FALSE),"UNMAPPED")</f>
        <v/>
      </c>
    </row>
    <row r="437">
      <c r="A437" s="5" t="n">
        <v>45777</v>
      </c>
      <c r="B437" t="inlineStr">
        <is>
          <t>PL</t>
        </is>
      </c>
      <c r="C437" t="inlineStr">
        <is>
          <t>CC_GOLD</t>
        </is>
      </c>
      <c r="D437" t="inlineStr">
        <is>
          <t>Current</t>
        </is>
      </c>
      <c r="E437" t="n">
        <v>0</v>
      </c>
      <c r="F437" t="n">
        <v>418</v>
      </c>
      <c r="G437" t="n">
        <v>4159573.15</v>
      </c>
      <c r="H437">
        <f>IFERROR(VLOOKUP(C437,Lookups!$A$3:$C$7,3,FALSE),"UNMAPPED")</f>
        <v/>
      </c>
    </row>
    <row r="438">
      <c r="A438" s="5" t="n">
        <v>45777</v>
      </c>
      <c r="B438" t="inlineStr">
        <is>
          <t>PL</t>
        </is>
      </c>
      <c r="C438" t="inlineStr">
        <is>
          <t>CC_GOLD</t>
        </is>
      </c>
      <c r="D438" t="inlineStr">
        <is>
          <t>1-29</t>
        </is>
      </c>
      <c r="E438" t="n">
        <v>1</v>
      </c>
      <c r="F438" t="n">
        <v>6</v>
      </c>
      <c r="G438" t="n">
        <v>82651.13</v>
      </c>
      <c r="H438">
        <f>IFERROR(VLOOKUP(C438,Lookups!$A$3:$C$7,3,FALSE),"UNMAPPED")</f>
        <v/>
      </c>
    </row>
    <row r="439">
      <c r="A439" s="5" t="n">
        <v>45777</v>
      </c>
      <c r="B439" t="inlineStr">
        <is>
          <t>PL</t>
        </is>
      </c>
      <c r="C439" t="inlineStr">
        <is>
          <t>CC_GOLD</t>
        </is>
      </c>
      <c r="D439" t="inlineStr">
        <is>
          <t>30-59</t>
        </is>
      </c>
      <c r="E439" t="n">
        <v>30</v>
      </c>
      <c r="F439" t="n">
        <v>4</v>
      </c>
      <c r="G439" t="n">
        <v>58047.78</v>
      </c>
      <c r="H439">
        <f>IFERROR(VLOOKUP(C439,Lookups!$A$3:$C$7,3,FALSE),"UNMAPPED")</f>
        <v/>
      </c>
    </row>
    <row r="440">
      <c r="A440" s="5" t="n">
        <v>45777</v>
      </c>
      <c r="B440" t="inlineStr">
        <is>
          <t>PL</t>
        </is>
      </c>
      <c r="C440" t="inlineStr">
        <is>
          <t>CC_GOLD</t>
        </is>
      </c>
      <c r="D440" t="inlineStr">
        <is>
          <t>60-89</t>
        </is>
      </c>
      <c r="E440" t="n">
        <v>60</v>
      </c>
      <c r="F440" t="n">
        <v>2</v>
      </c>
      <c r="G440" t="n">
        <v>30233.27</v>
      </c>
      <c r="H440">
        <f>IFERROR(VLOOKUP(C440,Lookups!$A$3:$C$7,3,FALSE),"UNMAPPED")</f>
        <v/>
      </c>
    </row>
    <row r="441">
      <c r="A441" s="5" t="n">
        <v>45777</v>
      </c>
      <c r="B441" t="inlineStr">
        <is>
          <t>PL</t>
        </is>
      </c>
      <c r="C441" t="inlineStr">
        <is>
          <t>CC_GOLD</t>
        </is>
      </c>
      <c r="D441" t="inlineStr">
        <is>
          <t>90-179</t>
        </is>
      </c>
      <c r="E441" t="n">
        <v>90</v>
      </c>
      <c r="F441" t="n">
        <v>3</v>
      </c>
      <c r="G441" t="n">
        <v>30015.3</v>
      </c>
      <c r="H441">
        <f>IFERROR(VLOOKUP(C441,Lookups!$A$3:$C$7,3,FALSE),"UNMAPPED")</f>
        <v/>
      </c>
    </row>
    <row r="442">
      <c r="A442" s="5" t="n">
        <v>45777</v>
      </c>
      <c r="B442" t="inlineStr">
        <is>
          <t>PL</t>
        </is>
      </c>
      <c r="C442" t="inlineStr">
        <is>
          <t>PL_PREM</t>
        </is>
      </c>
      <c r="D442" t="inlineStr">
        <is>
          <t>Current</t>
        </is>
      </c>
      <c r="E442" t="n">
        <v>0</v>
      </c>
      <c r="F442" t="n">
        <v>436</v>
      </c>
      <c r="G442" t="n">
        <v>18649874.02</v>
      </c>
      <c r="H442">
        <f>IFERROR(VLOOKUP(C442,Lookups!$A$3:$C$7,3,FALSE),"UNMAPPED")</f>
        <v/>
      </c>
    </row>
    <row r="443">
      <c r="A443" s="5" t="n">
        <v>45777</v>
      </c>
      <c r="B443" t="inlineStr">
        <is>
          <t>PL</t>
        </is>
      </c>
      <c r="C443" t="inlineStr">
        <is>
          <t>PL_PREM</t>
        </is>
      </c>
      <c r="D443" t="inlineStr">
        <is>
          <t>1-29</t>
        </is>
      </c>
      <c r="E443" t="n">
        <v>1</v>
      </c>
      <c r="F443" t="n">
        <v>9</v>
      </c>
      <c r="G443" t="n">
        <v>373931.41</v>
      </c>
      <c r="H443">
        <f>IFERROR(VLOOKUP(C443,Lookups!$A$3:$C$7,3,FALSE),"UNMAPPED")</f>
        <v/>
      </c>
    </row>
    <row r="444">
      <c r="A444" s="5" t="n">
        <v>45777</v>
      </c>
      <c r="B444" t="inlineStr">
        <is>
          <t>PL</t>
        </is>
      </c>
      <c r="C444" t="inlineStr">
        <is>
          <t>PL_PREM</t>
        </is>
      </c>
      <c r="D444" t="inlineStr">
        <is>
          <t>30-59</t>
        </is>
      </c>
      <c r="E444" t="n">
        <v>30</v>
      </c>
      <c r="F444" t="n">
        <v>3</v>
      </c>
      <c r="G444" t="n">
        <v>153458.07</v>
      </c>
      <c r="H444">
        <f>IFERROR(VLOOKUP(C444,Lookups!$A$3:$C$7,3,FALSE),"UNMAPPED")</f>
        <v/>
      </c>
    </row>
    <row r="445">
      <c r="A445" s="5" t="n">
        <v>45777</v>
      </c>
      <c r="B445" t="inlineStr">
        <is>
          <t>PL</t>
        </is>
      </c>
      <c r="C445" t="inlineStr">
        <is>
          <t>PL_PREM</t>
        </is>
      </c>
      <c r="D445" t="inlineStr">
        <is>
          <t>60-89</t>
        </is>
      </c>
      <c r="E445" t="n">
        <v>60</v>
      </c>
      <c r="F445" t="n">
        <v>1</v>
      </c>
      <c r="G445" t="n">
        <v>31815.86</v>
      </c>
      <c r="H445">
        <f>IFERROR(VLOOKUP(C445,Lookups!$A$3:$C$7,3,FALSE),"UNMAPPED")</f>
        <v/>
      </c>
    </row>
    <row r="446">
      <c r="A446" s="5" t="n">
        <v>45777</v>
      </c>
      <c r="B446" t="inlineStr">
        <is>
          <t>PL</t>
        </is>
      </c>
      <c r="C446" t="inlineStr">
        <is>
          <t>PL_PREM</t>
        </is>
      </c>
      <c r="D446" t="inlineStr">
        <is>
          <t>90-179</t>
        </is>
      </c>
      <c r="E446" t="n">
        <v>90</v>
      </c>
      <c r="F446" t="n">
        <v>6</v>
      </c>
      <c r="G446" t="n">
        <v>313085.75</v>
      </c>
      <c r="H446">
        <f>IFERROR(VLOOKUP(C446,Lookups!$A$3:$C$7,3,FALSE),"UNMAPPED")</f>
        <v/>
      </c>
    </row>
    <row r="447">
      <c r="A447" s="5" t="n">
        <v>45777</v>
      </c>
      <c r="B447" t="inlineStr">
        <is>
          <t>PL</t>
        </is>
      </c>
      <c r="C447" t="inlineStr">
        <is>
          <t>PL_STD</t>
        </is>
      </c>
      <c r="D447" t="inlineStr">
        <is>
          <t>Current</t>
        </is>
      </c>
      <c r="E447" t="n">
        <v>0</v>
      </c>
      <c r="F447" t="n">
        <v>1057</v>
      </c>
      <c r="G447" t="n">
        <v>12600440.71</v>
      </c>
      <c r="H447">
        <f>IFERROR(VLOOKUP(C447,Lookups!$A$3:$C$7,3,FALSE),"UNMAPPED")</f>
        <v/>
      </c>
    </row>
    <row r="448">
      <c r="A448" s="5" t="n">
        <v>45777</v>
      </c>
      <c r="B448" t="inlineStr">
        <is>
          <t>PL</t>
        </is>
      </c>
      <c r="C448" t="inlineStr">
        <is>
          <t>PL_STD</t>
        </is>
      </c>
      <c r="D448" t="inlineStr">
        <is>
          <t>1-29</t>
        </is>
      </c>
      <c r="E448" t="n">
        <v>1</v>
      </c>
      <c r="F448" t="n">
        <v>18</v>
      </c>
      <c r="G448" t="n">
        <v>253934.56</v>
      </c>
      <c r="H448">
        <f>IFERROR(VLOOKUP(C448,Lookups!$A$3:$C$7,3,FALSE),"UNMAPPED")</f>
        <v/>
      </c>
    </row>
    <row r="449">
      <c r="A449" s="5" t="n">
        <v>45777</v>
      </c>
      <c r="B449" t="inlineStr">
        <is>
          <t>PL</t>
        </is>
      </c>
      <c r="C449" t="inlineStr">
        <is>
          <t>PL_STD</t>
        </is>
      </c>
      <c r="D449" t="inlineStr">
        <is>
          <t>30-59</t>
        </is>
      </c>
      <c r="E449" t="n">
        <v>30</v>
      </c>
      <c r="F449" t="n">
        <v>9</v>
      </c>
      <c r="G449" t="n">
        <v>137991.21</v>
      </c>
      <c r="H449">
        <f>IFERROR(VLOOKUP(C449,Lookups!$A$3:$C$7,3,FALSE),"UNMAPPED")</f>
        <v/>
      </c>
    </row>
    <row r="450">
      <c r="A450" s="5" t="n">
        <v>45777</v>
      </c>
      <c r="B450" t="inlineStr">
        <is>
          <t>PL</t>
        </is>
      </c>
      <c r="C450" t="inlineStr">
        <is>
          <t>PL_STD</t>
        </is>
      </c>
      <c r="D450" t="inlineStr">
        <is>
          <t>60-89</t>
        </is>
      </c>
      <c r="E450" t="n">
        <v>60</v>
      </c>
      <c r="F450" t="n">
        <v>7</v>
      </c>
      <c r="G450" t="n">
        <v>95106.64</v>
      </c>
      <c r="H450">
        <f>IFERROR(VLOOKUP(C450,Lookups!$A$3:$C$7,3,FALSE),"UNMAPPED")</f>
        <v/>
      </c>
    </row>
    <row r="451">
      <c r="A451" s="5" t="n">
        <v>45777</v>
      </c>
      <c r="B451" t="inlineStr">
        <is>
          <t>PL</t>
        </is>
      </c>
      <c r="C451" t="inlineStr">
        <is>
          <t>PL_STD</t>
        </is>
      </c>
      <c r="D451" t="inlineStr">
        <is>
          <t>90-179</t>
        </is>
      </c>
      <c r="E451" t="n">
        <v>90</v>
      </c>
      <c r="F451" t="n">
        <v>6</v>
      </c>
      <c r="G451" t="n">
        <v>98960.71000000001</v>
      </c>
      <c r="H451">
        <f>IFERROR(VLOOKUP(C451,Lookups!$A$3:$C$7,3,FALSE),"UNMAPPED")</f>
        <v/>
      </c>
    </row>
    <row r="452">
      <c r="A452" s="5" t="n">
        <v>45777</v>
      </c>
      <c r="B452" t="inlineStr">
        <is>
          <t>RO</t>
        </is>
      </c>
      <c r="C452" t="inlineStr">
        <is>
          <t>CC_CLASSIC</t>
        </is>
      </c>
      <c r="D452" t="inlineStr">
        <is>
          <t>Current</t>
        </is>
      </c>
      <c r="E452" t="n">
        <v>0</v>
      </c>
      <c r="F452" t="n">
        <v>757</v>
      </c>
      <c r="G452" t="n">
        <v>2446148.39</v>
      </c>
      <c r="H452">
        <f>IFERROR(VLOOKUP(C452,Lookups!$A$3:$C$7,3,FALSE),"UNMAPPED")</f>
        <v/>
      </c>
    </row>
    <row r="453">
      <c r="A453" s="5" t="n">
        <v>45777</v>
      </c>
      <c r="B453" t="inlineStr">
        <is>
          <t>RO</t>
        </is>
      </c>
      <c r="C453" t="inlineStr">
        <is>
          <t>CC_CLASSIC</t>
        </is>
      </c>
      <c r="D453" t="inlineStr">
        <is>
          <t>1-29</t>
        </is>
      </c>
      <c r="E453" t="n">
        <v>1</v>
      </c>
      <c r="F453" t="n">
        <v>10</v>
      </c>
      <c r="G453" t="n">
        <v>23062.91</v>
      </c>
      <c r="H453">
        <f>IFERROR(VLOOKUP(C453,Lookups!$A$3:$C$7,3,FALSE),"UNMAPPED")</f>
        <v/>
      </c>
    </row>
    <row r="454">
      <c r="A454" s="5" t="n">
        <v>45777</v>
      </c>
      <c r="B454" t="inlineStr">
        <is>
          <t>RO</t>
        </is>
      </c>
      <c r="C454" t="inlineStr">
        <is>
          <t>CC_CLASSIC</t>
        </is>
      </c>
      <c r="D454" t="inlineStr">
        <is>
          <t>30-59</t>
        </is>
      </c>
      <c r="E454" t="n">
        <v>30</v>
      </c>
      <c r="F454" t="n">
        <v>10</v>
      </c>
      <c r="G454" t="n">
        <v>49894.06</v>
      </c>
      <c r="H454">
        <f>IFERROR(VLOOKUP(C454,Lookups!$A$3:$C$7,3,FALSE),"UNMAPPED")</f>
        <v/>
      </c>
    </row>
    <row r="455">
      <c r="A455" s="5" t="n">
        <v>45777</v>
      </c>
      <c r="B455" t="inlineStr">
        <is>
          <t>RO</t>
        </is>
      </c>
      <c r="C455" t="inlineStr">
        <is>
          <t>CC_CLASSIC</t>
        </is>
      </c>
      <c r="D455" t="inlineStr">
        <is>
          <t>60-89</t>
        </is>
      </c>
      <c r="E455" t="n">
        <v>60</v>
      </c>
      <c r="F455" t="n">
        <v>8</v>
      </c>
      <c r="G455" t="n">
        <v>47733.47</v>
      </c>
      <c r="H455">
        <f>IFERROR(VLOOKUP(C455,Lookups!$A$3:$C$7,3,FALSE),"UNMAPPED")</f>
        <v/>
      </c>
    </row>
    <row r="456">
      <c r="A456" s="5" t="n">
        <v>45777</v>
      </c>
      <c r="B456" t="inlineStr">
        <is>
          <t>RO</t>
        </is>
      </c>
      <c r="C456" t="inlineStr">
        <is>
          <t>CC_CLASSIC</t>
        </is>
      </c>
      <c r="D456" t="inlineStr">
        <is>
          <t>90-179</t>
        </is>
      </c>
      <c r="E456" t="n">
        <v>90</v>
      </c>
      <c r="F456" t="n">
        <v>17</v>
      </c>
      <c r="G456" t="n">
        <v>68535.46000000001</v>
      </c>
      <c r="H456">
        <f>IFERROR(VLOOKUP(C456,Lookups!$A$3:$C$7,3,FALSE),"UNMAPPED")</f>
        <v/>
      </c>
    </row>
    <row r="457">
      <c r="A457" s="5" t="n">
        <v>45777</v>
      </c>
      <c r="B457" t="inlineStr">
        <is>
          <t>RO</t>
        </is>
      </c>
      <c r="C457" t="inlineStr">
        <is>
          <t>CC_CONSOL</t>
        </is>
      </c>
      <c r="D457" t="inlineStr">
        <is>
          <t>Current</t>
        </is>
      </c>
      <c r="E457" t="n">
        <v>0</v>
      </c>
      <c r="F457" t="n">
        <v>25</v>
      </c>
      <c r="G457" t="n">
        <v>1063306.1</v>
      </c>
      <c r="H457">
        <f>IFERROR(VLOOKUP(C457,Lookups!$A$3:$C$7,3,FALSE),"UNMAPPED")</f>
        <v/>
      </c>
    </row>
    <row r="458">
      <c r="A458" s="5" t="n">
        <v>45777</v>
      </c>
      <c r="B458" t="inlineStr">
        <is>
          <t>RO</t>
        </is>
      </c>
      <c r="C458" t="inlineStr">
        <is>
          <t>CC_GOLD</t>
        </is>
      </c>
      <c r="D458" t="inlineStr">
        <is>
          <t>Current</t>
        </is>
      </c>
      <c r="E458" t="n">
        <v>0</v>
      </c>
      <c r="F458" t="n">
        <v>204</v>
      </c>
      <c r="G458" t="n">
        <v>2351391.91</v>
      </c>
      <c r="H458">
        <f>IFERROR(VLOOKUP(C458,Lookups!$A$3:$C$7,3,FALSE),"UNMAPPED")</f>
        <v/>
      </c>
    </row>
    <row r="459">
      <c r="A459" s="5" t="n">
        <v>45777</v>
      </c>
      <c r="B459" t="inlineStr">
        <is>
          <t>RO</t>
        </is>
      </c>
      <c r="C459" t="inlineStr">
        <is>
          <t>CC_GOLD</t>
        </is>
      </c>
      <c r="D459" t="inlineStr">
        <is>
          <t>1-29</t>
        </is>
      </c>
      <c r="E459" t="n">
        <v>1</v>
      </c>
      <c r="F459" t="n">
        <v>2</v>
      </c>
      <c r="G459" t="n">
        <v>13985.68</v>
      </c>
      <c r="H459">
        <f>IFERROR(VLOOKUP(C459,Lookups!$A$3:$C$7,3,FALSE),"UNMAPPED")</f>
        <v/>
      </c>
    </row>
    <row r="460">
      <c r="A460" s="5" t="n">
        <v>45777</v>
      </c>
      <c r="B460" t="inlineStr">
        <is>
          <t>RO</t>
        </is>
      </c>
      <c r="C460" t="inlineStr">
        <is>
          <t>CC_GOLD</t>
        </is>
      </c>
      <c r="D460" t="inlineStr">
        <is>
          <t>30-59</t>
        </is>
      </c>
      <c r="E460" t="n">
        <v>30</v>
      </c>
      <c r="F460" t="n">
        <v>2</v>
      </c>
      <c r="G460" t="n">
        <v>36588.58</v>
      </c>
      <c r="H460">
        <f>IFERROR(VLOOKUP(C460,Lookups!$A$3:$C$7,3,FALSE),"UNMAPPED")</f>
        <v/>
      </c>
    </row>
    <row r="461">
      <c r="A461" s="5" t="n">
        <v>45777</v>
      </c>
      <c r="B461" t="inlineStr">
        <is>
          <t>RO</t>
        </is>
      </c>
      <c r="C461" t="inlineStr">
        <is>
          <t>CC_GOLD</t>
        </is>
      </c>
      <c r="D461" t="inlineStr">
        <is>
          <t>60-89</t>
        </is>
      </c>
      <c r="E461" t="n">
        <v>60</v>
      </c>
      <c r="F461" t="n">
        <v>2</v>
      </c>
      <c r="G461" t="n">
        <v>17487.91</v>
      </c>
      <c r="H461">
        <f>IFERROR(VLOOKUP(C461,Lookups!$A$3:$C$7,3,FALSE),"UNMAPPED")</f>
        <v/>
      </c>
    </row>
    <row r="462">
      <c r="A462" s="5" t="n">
        <v>45777</v>
      </c>
      <c r="B462" t="inlineStr">
        <is>
          <t>RO</t>
        </is>
      </c>
      <c r="C462" t="inlineStr">
        <is>
          <t>CC_GOLD</t>
        </is>
      </c>
      <c r="D462" t="inlineStr">
        <is>
          <t>90-179</t>
        </is>
      </c>
      <c r="E462" t="n">
        <v>90</v>
      </c>
      <c r="F462" t="n">
        <v>7</v>
      </c>
      <c r="G462" t="n">
        <v>52762.95</v>
      </c>
      <c r="H462">
        <f>IFERROR(VLOOKUP(C462,Lookups!$A$3:$C$7,3,FALSE),"UNMAPPED")</f>
        <v/>
      </c>
    </row>
    <row r="463">
      <c r="A463" s="5" t="n">
        <v>45777</v>
      </c>
      <c r="B463" t="inlineStr">
        <is>
          <t>RO</t>
        </is>
      </c>
      <c r="C463" t="inlineStr">
        <is>
          <t>PL_PREM</t>
        </is>
      </c>
      <c r="D463" t="inlineStr">
        <is>
          <t>Current</t>
        </is>
      </c>
      <c r="E463" t="n">
        <v>0</v>
      </c>
      <c r="F463" t="n">
        <v>268</v>
      </c>
      <c r="G463" t="n">
        <v>13239426.05</v>
      </c>
      <c r="H463">
        <f>IFERROR(VLOOKUP(C463,Lookups!$A$3:$C$7,3,FALSE),"UNMAPPED")</f>
        <v/>
      </c>
    </row>
    <row r="464">
      <c r="A464" s="5" t="n">
        <v>45777</v>
      </c>
      <c r="B464" t="inlineStr">
        <is>
          <t>RO</t>
        </is>
      </c>
      <c r="C464" t="inlineStr">
        <is>
          <t>PL_PREM</t>
        </is>
      </c>
      <c r="D464" t="inlineStr">
        <is>
          <t>1-29</t>
        </is>
      </c>
      <c r="E464" t="n">
        <v>1</v>
      </c>
      <c r="F464" t="n">
        <v>9</v>
      </c>
      <c r="G464" t="n">
        <v>361189.88</v>
      </c>
      <c r="H464">
        <f>IFERROR(VLOOKUP(C464,Lookups!$A$3:$C$7,3,FALSE),"UNMAPPED")</f>
        <v/>
      </c>
    </row>
    <row r="465">
      <c r="A465" s="5" t="n">
        <v>45777</v>
      </c>
      <c r="B465" t="inlineStr">
        <is>
          <t>RO</t>
        </is>
      </c>
      <c r="C465" t="inlineStr">
        <is>
          <t>PL_PREM</t>
        </is>
      </c>
      <c r="D465" t="inlineStr">
        <is>
          <t>30-59</t>
        </is>
      </c>
      <c r="E465" t="n">
        <v>30</v>
      </c>
      <c r="F465" t="n">
        <v>3</v>
      </c>
      <c r="G465" t="n">
        <v>106095.85</v>
      </c>
      <c r="H465">
        <f>IFERROR(VLOOKUP(C465,Lookups!$A$3:$C$7,3,FALSE),"UNMAPPED")</f>
        <v/>
      </c>
    </row>
    <row r="466">
      <c r="A466" s="5" t="n">
        <v>45777</v>
      </c>
      <c r="B466" t="inlineStr">
        <is>
          <t>RO</t>
        </is>
      </c>
      <c r="C466" t="inlineStr">
        <is>
          <t>PL_PREM</t>
        </is>
      </c>
      <c r="D466" t="inlineStr">
        <is>
          <t>90-179</t>
        </is>
      </c>
      <c r="E466" t="n">
        <v>90</v>
      </c>
      <c r="F466" t="n">
        <v>4</v>
      </c>
      <c r="G466" t="n">
        <v>197882.93</v>
      </c>
      <c r="H466">
        <f>IFERROR(VLOOKUP(C466,Lookups!$A$3:$C$7,3,FALSE),"UNMAPPED")</f>
        <v/>
      </c>
    </row>
    <row r="467">
      <c r="A467" s="5" t="n">
        <v>45777</v>
      </c>
      <c r="B467" t="inlineStr">
        <is>
          <t>RO</t>
        </is>
      </c>
      <c r="C467" t="inlineStr">
        <is>
          <t>PL_STD</t>
        </is>
      </c>
      <c r="D467" t="inlineStr">
        <is>
          <t>Current</t>
        </is>
      </c>
      <c r="E467" t="n">
        <v>0</v>
      </c>
      <c r="F467" t="n">
        <v>695</v>
      </c>
      <c r="G467" t="n">
        <v>10928325.53</v>
      </c>
      <c r="H467">
        <f>IFERROR(VLOOKUP(C467,Lookups!$A$3:$C$7,3,FALSE),"UNMAPPED")</f>
        <v/>
      </c>
    </row>
    <row r="468">
      <c r="A468" s="5" t="n">
        <v>45777</v>
      </c>
      <c r="B468" t="inlineStr">
        <is>
          <t>RO</t>
        </is>
      </c>
      <c r="C468" t="inlineStr">
        <is>
          <t>PL_STD</t>
        </is>
      </c>
      <c r="D468" t="inlineStr">
        <is>
          <t>1-29</t>
        </is>
      </c>
      <c r="E468" t="n">
        <v>1</v>
      </c>
      <c r="F468" t="n">
        <v>14</v>
      </c>
      <c r="G468" t="n">
        <v>242638.16</v>
      </c>
      <c r="H468">
        <f>IFERROR(VLOOKUP(C468,Lookups!$A$3:$C$7,3,FALSE),"UNMAPPED")</f>
        <v/>
      </c>
    </row>
    <row r="469">
      <c r="A469" s="5" t="n">
        <v>45777</v>
      </c>
      <c r="B469" t="inlineStr">
        <is>
          <t>RO</t>
        </is>
      </c>
      <c r="C469" t="inlineStr">
        <is>
          <t>PL_STD</t>
        </is>
      </c>
      <c r="D469" t="inlineStr">
        <is>
          <t>30-59</t>
        </is>
      </c>
      <c r="E469" t="n">
        <v>30</v>
      </c>
      <c r="F469" t="n">
        <v>5</v>
      </c>
      <c r="G469" t="n">
        <v>37854.35</v>
      </c>
      <c r="H469">
        <f>IFERROR(VLOOKUP(C469,Lookups!$A$3:$C$7,3,FALSE),"UNMAPPED")</f>
        <v/>
      </c>
    </row>
    <row r="470">
      <c r="A470" s="5" t="n">
        <v>45777</v>
      </c>
      <c r="B470" t="inlineStr">
        <is>
          <t>RO</t>
        </is>
      </c>
      <c r="C470" t="inlineStr">
        <is>
          <t>PL_STD</t>
        </is>
      </c>
      <c r="D470" t="inlineStr">
        <is>
          <t>60-89</t>
        </is>
      </c>
      <c r="E470" t="n">
        <v>60</v>
      </c>
      <c r="F470" t="n">
        <v>8</v>
      </c>
      <c r="G470" t="n">
        <v>66414.75999999999</v>
      </c>
      <c r="H470">
        <f>IFERROR(VLOOKUP(C470,Lookups!$A$3:$C$7,3,FALSE),"UNMAPPED")</f>
        <v/>
      </c>
    </row>
    <row r="471">
      <c r="A471" s="5" t="n">
        <v>45777</v>
      </c>
      <c r="B471" t="inlineStr">
        <is>
          <t>RO</t>
        </is>
      </c>
      <c r="C471" t="inlineStr">
        <is>
          <t>PL_STD</t>
        </is>
      </c>
      <c r="D471" t="inlineStr">
        <is>
          <t>90-179</t>
        </is>
      </c>
      <c r="E471" t="n">
        <v>90</v>
      </c>
      <c r="F471" t="n">
        <v>6</v>
      </c>
      <c r="G471" t="n">
        <v>71990.77</v>
      </c>
      <c r="H471">
        <f>IFERROR(VLOOKUP(C471,Lookups!$A$3:$C$7,3,FALSE),"UNMAPPED")</f>
        <v/>
      </c>
    </row>
    <row r="472">
      <c r="A472" s="5" t="n">
        <v>45808</v>
      </c>
      <c r="B472" t="inlineStr">
        <is>
          <t>CZ</t>
        </is>
      </c>
      <c r="C472" t="inlineStr">
        <is>
          <t>CC_CLASSIC</t>
        </is>
      </c>
      <c r="D472" t="inlineStr">
        <is>
          <t>Current</t>
        </is>
      </c>
      <c r="E472" t="n">
        <v>0</v>
      </c>
      <c r="F472" t="n">
        <v>1103</v>
      </c>
      <c r="G472" t="n">
        <v>17772604.68</v>
      </c>
      <c r="H472">
        <f>IFERROR(VLOOKUP(C472,Lookups!$A$3:$C$7,3,FALSE),"UNMAPPED")</f>
        <v/>
      </c>
    </row>
    <row r="473">
      <c r="A473" s="5" t="n">
        <v>45808</v>
      </c>
      <c r="B473" t="inlineStr">
        <is>
          <t>CZ</t>
        </is>
      </c>
      <c r="C473" t="inlineStr">
        <is>
          <t>CC_CLASSIC</t>
        </is>
      </c>
      <c r="D473" t="inlineStr">
        <is>
          <t>1-29</t>
        </is>
      </c>
      <c r="E473" t="n">
        <v>1</v>
      </c>
      <c r="F473" t="n">
        <v>15</v>
      </c>
      <c r="G473" t="n">
        <v>308000.23</v>
      </c>
      <c r="H473">
        <f>IFERROR(VLOOKUP(C473,Lookups!$A$3:$C$7,3,FALSE),"UNMAPPED")</f>
        <v/>
      </c>
    </row>
    <row r="474">
      <c r="A474" s="5" t="n">
        <v>45808</v>
      </c>
      <c r="B474" t="inlineStr">
        <is>
          <t>CZ</t>
        </is>
      </c>
      <c r="C474" t="inlineStr">
        <is>
          <t>CC_CLASSIC</t>
        </is>
      </c>
      <c r="D474" t="inlineStr">
        <is>
          <t>30-59</t>
        </is>
      </c>
      <c r="E474" t="n">
        <v>30</v>
      </c>
      <c r="F474" t="n">
        <v>3</v>
      </c>
      <c r="G474" t="n">
        <v>31177.18</v>
      </c>
      <c r="H474">
        <f>IFERROR(VLOOKUP(C474,Lookups!$A$3:$C$7,3,FALSE),"UNMAPPED")</f>
        <v/>
      </c>
    </row>
    <row r="475">
      <c r="A475" s="5" t="n">
        <v>45808</v>
      </c>
      <c r="B475" t="inlineStr">
        <is>
          <t>CZ</t>
        </is>
      </c>
      <c r="C475" t="inlineStr">
        <is>
          <t>CC_CLASSIC</t>
        </is>
      </c>
      <c r="D475" t="inlineStr">
        <is>
          <t>60-89</t>
        </is>
      </c>
      <c r="E475" t="n">
        <v>60</v>
      </c>
      <c r="F475" t="n">
        <v>6</v>
      </c>
      <c r="G475" t="n">
        <v>80401.42</v>
      </c>
      <c r="H475">
        <f>IFERROR(VLOOKUP(C475,Lookups!$A$3:$C$7,3,FALSE),"UNMAPPED")</f>
        <v/>
      </c>
    </row>
    <row r="476">
      <c r="A476" s="5" t="n">
        <v>45808</v>
      </c>
      <c r="B476" t="inlineStr">
        <is>
          <t>CZ</t>
        </is>
      </c>
      <c r="C476" t="inlineStr">
        <is>
          <t>CC_CLASSIC</t>
        </is>
      </c>
      <c r="D476" t="inlineStr">
        <is>
          <t>90-179</t>
        </is>
      </c>
      <c r="E476" t="n">
        <v>90</v>
      </c>
      <c r="F476" t="n">
        <v>19</v>
      </c>
      <c r="G476" t="n">
        <v>372981.19</v>
      </c>
      <c r="H476">
        <f>IFERROR(VLOOKUP(C476,Lookups!$A$3:$C$7,3,FALSE),"UNMAPPED")</f>
        <v/>
      </c>
    </row>
    <row r="477">
      <c r="A477" s="5" t="n">
        <v>45808</v>
      </c>
      <c r="B477" t="inlineStr">
        <is>
          <t>CZ</t>
        </is>
      </c>
      <c r="C477" t="inlineStr">
        <is>
          <t>CC_CONSOL</t>
        </is>
      </c>
      <c r="D477" t="inlineStr">
        <is>
          <t>Current</t>
        </is>
      </c>
      <c r="E477" t="n">
        <v>0</v>
      </c>
      <c r="F477" t="n">
        <v>35</v>
      </c>
      <c r="G477" t="n">
        <v>5953799.82</v>
      </c>
      <c r="H477">
        <f>IFERROR(VLOOKUP(C477,Lookups!$A$3:$C$7,3,FALSE),"UNMAPPED")</f>
        <v/>
      </c>
    </row>
    <row r="478">
      <c r="A478" s="5" t="n">
        <v>45808</v>
      </c>
      <c r="B478" t="inlineStr">
        <is>
          <t>CZ</t>
        </is>
      </c>
      <c r="C478" t="inlineStr">
        <is>
          <t>CC_GOLD</t>
        </is>
      </c>
      <c r="D478" t="inlineStr">
        <is>
          <t>Current</t>
        </is>
      </c>
      <c r="E478" t="n">
        <v>0</v>
      </c>
      <c r="F478" t="n">
        <v>295</v>
      </c>
      <c r="G478" t="n">
        <v>17063516.47</v>
      </c>
      <c r="H478">
        <f>IFERROR(VLOOKUP(C478,Lookups!$A$3:$C$7,3,FALSE),"UNMAPPED")</f>
        <v/>
      </c>
    </row>
    <row r="479">
      <c r="A479" s="5" t="n">
        <v>45808</v>
      </c>
      <c r="B479" t="inlineStr">
        <is>
          <t>CZ</t>
        </is>
      </c>
      <c r="C479" t="inlineStr">
        <is>
          <t>CC_GOLD</t>
        </is>
      </c>
      <c r="D479" t="inlineStr">
        <is>
          <t>1-29</t>
        </is>
      </c>
      <c r="E479" t="n">
        <v>1</v>
      </c>
      <c r="F479" t="n">
        <v>5</v>
      </c>
      <c r="G479" t="n">
        <v>237293.79</v>
      </c>
      <c r="H479">
        <f>IFERROR(VLOOKUP(C479,Lookups!$A$3:$C$7,3,FALSE),"UNMAPPED")</f>
        <v/>
      </c>
    </row>
    <row r="480">
      <c r="A480" s="5" t="n">
        <v>45808</v>
      </c>
      <c r="B480" t="inlineStr">
        <is>
          <t>CZ</t>
        </is>
      </c>
      <c r="C480" t="inlineStr">
        <is>
          <t>CC_GOLD</t>
        </is>
      </c>
      <c r="D480" t="inlineStr">
        <is>
          <t>30-59</t>
        </is>
      </c>
      <c r="E480" t="n">
        <v>30</v>
      </c>
      <c r="F480" t="n">
        <v>3</v>
      </c>
      <c r="G480" t="n">
        <v>93396.28</v>
      </c>
      <c r="H480">
        <f>IFERROR(VLOOKUP(C480,Lookups!$A$3:$C$7,3,FALSE),"UNMAPPED")</f>
        <v/>
      </c>
    </row>
    <row r="481">
      <c r="A481" s="5" t="n">
        <v>45808</v>
      </c>
      <c r="B481" t="inlineStr">
        <is>
          <t>CZ</t>
        </is>
      </c>
      <c r="C481" t="inlineStr">
        <is>
          <t>CC_GOLD</t>
        </is>
      </c>
      <c r="D481" t="inlineStr">
        <is>
          <t>60-89</t>
        </is>
      </c>
      <c r="E481" t="n">
        <v>60</v>
      </c>
      <c r="F481" t="n">
        <v>2</v>
      </c>
      <c r="G481" t="n">
        <v>125947.22</v>
      </c>
      <c r="H481">
        <f>IFERROR(VLOOKUP(C481,Lookups!$A$3:$C$7,3,FALSE),"UNMAPPED")</f>
        <v/>
      </c>
    </row>
    <row r="482">
      <c r="A482" s="5" t="n">
        <v>45808</v>
      </c>
      <c r="B482" t="inlineStr">
        <is>
          <t>CZ</t>
        </is>
      </c>
      <c r="C482" t="inlineStr">
        <is>
          <t>CC_GOLD</t>
        </is>
      </c>
      <c r="D482" t="inlineStr">
        <is>
          <t>90-179</t>
        </is>
      </c>
      <c r="E482" t="n">
        <v>90</v>
      </c>
      <c r="F482" t="n">
        <v>4</v>
      </c>
      <c r="G482" t="n">
        <v>234595.18</v>
      </c>
      <c r="H482">
        <f>IFERROR(VLOOKUP(C482,Lookups!$A$3:$C$7,3,FALSE),"UNMAPPED")</f>
        <v/>
      </c>
    </row>
    <row r="483">
      <c r="A483" s="5" t="n">
        <v>45808</v>
      </c>
      <c r="B483" t="inlineStr">
        <is>
          <t>CZ</t>
        </is>
      </c>
      <c r="C483" t="inlineStr">
        <is>
          <t>PL_PREM</t>
        </is>
      </c>
      <c r="D483" t="inlineStr">
        <is>
          <t>Current</t>
        </is>
      </c>
      <c r="E483" t="n">
        <v>0</v>
      </c>
      <c r="F483" t="n">
        <v>296</v>
      </c>
      <c r="G483" t="n">
        <v>68684984.23</v>
      </c>
      <c r="H483">
        <f>IFERROR(VLOOKUP(C483,Lookups!$A$3:$C$7,3,FALSE),"UNMAPPED")</f>
        <v/>
      </c>
    </row>
    <row r="484">
      <c r="A484" s="5" t="n">
        <v>45808</v>
      </c>
      <c r="B484" t="inlineStr">
        <is>
          <t>CZ</t>
        </is>
      </c>
      <c r="C484" t="inlineStr">
        <is>
          <t>PL_PREM</t>
        </is>
      </c>
      <c r="D484" t="inlineStr">
        <is>
          <t>1-29</t>
        </is>
      </c>
      <c r="E484" t="n">
        <v>1</v>
      </c>
      <c r="F484" t="n">
        <v>11</v>
      </c>
      <c r="G484" t="n">
        <v>2735695.5</v>
      </c>
      <c r="H484">
        <f>IFERROR(VLOOKUP(C484,Lookups!$A$3:$C$7,3,FALSE),"UNMAPPED")</f>
        <v/>
      </c>
    </row>
    <row r="485">
      <c r="A485" s="5" t="n">
        <v>45808</v>
      </c>
      <c r="B485" t="inlineStr">
        <is>
          <t>CZ</t>
        </is>
      </c>
      <c r="C485" t="inlineStr">
        <is>
          <t>PL_PREM</t>
        </is>
      </c>
      <c r="D485" t="inlineStr">
        <is>
          <t>30-59</t>
        </is>
      </c>
      <c r="E485" t="n">
        <v>30</v>
      </c>
      <c r="F485" t="n">
        <v>2</v>
      </c>
      <c r="G485" t="n">
        <v>822110.65</v>
      </c>
      <c r="H485">
        <f>IFERROR(VLOOKUP(C485,Lookups!$A$3:$C$7,3,FALSE),"UNMAPPED")</f>
        <v/>
      </c>
    </row>
    <row r="486">
      <c r="A486" s="5" t="n">
        <v>45808</v>
      </c>
      <c r="B486" t="inlineStr">
        <is>
          <t>CZ</t>
        </is>
      </c>
      <c r="C486" t="inlineStr">
        <is>
          <t>PL_PREM</t>
        </is>
      </c>
      <c r="D486" t="inlineStr">
        <is>
          <t>60-89</t>
        </is>
      </c>
      <c r="E486" t="n">
        <v>60</v>
      </c>
      <c r="F486" t="n">
        <v>1</v>
      </c>
      <c r="G486" t="n">
        <v>282267.36</v>
      </c>
      <c r="H486">
        <f>IFERROR(VLOOKUP(C486,Lookups!$A$3:$C$7,3,FALSE),"UNMAPPED")</f>
        <v/>
      </c>
    </row>
    <row r="487">
      <c r="A487" s="5" t="n">
        <v>45808</v>
      </c>
      <c r="B487" t="inlineStr">
        <is>
          <t>CZ</t>
        </is>
      </c>
      <c r="C487" t="inlineStr">
        <is>
          <t>PL_PREM</t>
        </is>
      </c>
      <c r="D487" t="inlineStr">
        <is>
          <t>90-179</t>
        </is>
      </c>
      <c r="E487" t="n">
        <v>90</v>
      </c>
      <c r="F487" t="n">
        <v>5</v>
      </c>
      <c r="G487" t="n">
        <v>1572482.32</v>
      </c>
      <c r="H487">
        <f>IFERROR(VLOOKUP(C487,Lookups!$A$3:$C$7,3,FALSE),"UNMAPPED")</f>
        <v/>
      </c>
    </row>
    <row r="488">
      <c r="A488" s="5" t="n">
        <v>45808</v>
      </c>
      <c r="B488" t="inlineStr">
        <is>
          <t>CZ</t>
        </is>
      </c>
      <c r="C488" t="inlineStr">
        <is>
          <t>PL_STD</t>
        </is>
      </c>
      <c r="D488" t="inlineStr">
        <is>
          <t>Current</t>
        </is>
      </c>
      <c r="E488" t="n">
        <v>0</v>
      </c>
      <c r="F488" t="n">
        <v>782</v>
      </c>
      <c r="G488" t="n">
        <v>57470945.86</v>
      </c>
      <c r="H488">
        <f>IFERROR(VLOOKUP(C488,Lookups!$A$3:$C$7,3,FALSE),"UNMAPPED")</f>
        <v/>
      </c>
    </row>
    <row r="489">
      <c r="A489" s="5" t="n">
        <v>45808</v>
      </c>
      <c r="B489" t="inlineStr">
        <is>
          <t>CZ</t>
        </is>
      </c>
      <c r="C489" t="inlineStr">
        <is>
          <t>PL_STD</t>
        </is>
      </c>
      <c r="D489" t="inlineStr">
        <is>
          <t>1-29</t>
        </is>
      </c>
      <c r="E489" t="n">
        <v>1</v>
      </c>
      <c r="F489" t="n">
        <v>15</v>
      </c>
      <c r="G489" t="n">
        <v>1126341.74</v>
      </c>
      <c r="H489">
        <f>IFERROR(VLOOKUP(C489,Lookups!$A$3:$C$7,3,FALSE),"UNMAPPED")</f>
        <v/>
      </c>
    </row>
    <row r="490">
      <c r="A490" s="5" t="n">
        <v>45808</v>
      </c>
      <c r="B490" t="inlineStr">
        <is>
          <t>CZ</t>
        </is>
      </c>
      <c r="C490" t="inlineStr">
        <is>
          <t>PL_STD</t>
        </is>
      </c>
      <c r="D490" t="inlineStr">
        <is>
          <t>30-59</t>
        </is>
      </c>
      <c r="E490" t="n">
        <v>30</v>
      </c>
      <c r="F490" t="n">
        <v>2</v>
      </c>
      <c r="G490" t="n">
        <v>77731.16</v>
      </c>
      <c r="H490">
        <f>IFERROR(VLOOKUP(C490,Lookups!$A$3:$C$7,3,FALSE),"UNMAPPED")</f>
        <v/>
      </c>
    </row>
    <row r="491">
      <c r="A491" s="5" t="n">
        <v>45808</v>
      </c>
      <c r="B491" t="inlineStr">
        <is>
          <t>CZ</t>
        </is>
      </c>
      <c r="C491" t="inlineStr">
        <is>
          <t>PL_STD</t>
        </is>
      </c>
      <c r="D491" t="inlineStr">
        <is>
          <t>60-89</t>
        </is>
      </c>
      <c r="E491" t="n">
        <v>60</v>
      </c>
      <c r="F491" t="n">
        <v>4</v>
      </c>
      <c r="G491" t="n">
        <v>204891</v>
      </c>
      <c r="H491">
        <f>IFERROR(VLOOKUP(C491,Lookups!$A$3:$C$7,3,FALSE),"UNMAPPED")</f>
        <v/>
      </c>
    </row>
    <row r="492">
      <c r="A492" s="5" t="n">
        <v>45808</v>
      </c>
      <c r="B492" t="inlineStr">
        <is>
          <t>CZ</t>
        </is>
      </c>
      <c r="C492" t="inlineStr">
        <is>
          <t>PL_STD</t>
        </is>
      </c>
      <c r="D492" t="inlineStr">
        <is>
          <t>90-179</t>
        </is>
      </c>
      <c r="E492" t="n">
        <v>90</v>
      </c>
      <c r="F492" t="n">
        <v>13</v>
      </c>
      <c r="G492" t="n">
        <v>1114228</v>
      </c>
      <c r="H492">
        <f>IFERROR(VLOOKUP(C492,Lookups!$A$3:$C$7,3,FALSE),"UNMAPPED")</f>
        <v/>
      </c>
    </row>
    <row r="493">
      <c r="A493" s="5" t="n">
        <v>45808</v>
      </c>
      <c r="B493" t="inlineStr">
        <is>
          <t>PL</t>
        </is>
      </c>
      <c r="C493" t="inlineStr">
        <is>
          <t>CC_CLASSIC</t>
        </is>
      </c>
      <c r="D493" t="inlineStr">
        <is>
          <t>Current</t>
        </is>
      </c>
      <c r="E493" t="n">
        <v>0</v>
      </c>
      <c r="F493" t="n">
        <v>1450</v>
      </c>
      <c r="G493" t="n">
        <v>4096004.55</v>
      </c>
      <c r="H493">
        <f>IFERROR(VLOOKUP(C493,Lookups!$A$3:$C$7,3,FALSE),"UNMAPPED")</f>
        <v/>
      </c>
    </row>
    <row r="494">
      <c r="A494" s="5" t="n">
        <v>45808</v>
      </c>
      <c r="B494" t="inlineStr">
        <is>
          <t>PL</t>
        </is>
      </c>
      <c r="C494" t="inlineStr">
        <is>
          <t>CC_CLASSIC</t>
        </is>
      </c>
      <c r="D494" t="inlineStr">
        <is>
          <t>1-29</t>
        </is>
      </c>
      <c r="E494" t="n">
        <v>1</v>
      </c>
      <c r="F494" t="n">
        <v>23</v>
      </c>
      <c r="G494" t="n">
        <v>62995.33</v>
      </c>
      <c r="H494">
        <f>IFERROR(VLOOKUP(C494,Lookups!$A$3:$C$7,3,FALSE),"UNMAPPED")</f>
        <v/>
      </c>
    </row>
    <row r="495">
      <c r="A495" s="5" t="n">
        <v>45808</v>
      </c>
      <c r="B495" t="inlineStr">
        <is>
          <t>PL</t>
        </is>
      </c>
      <c r="C495" t="inlineStr">
        <is>
          <t>CC_CLASSIC</t>
        </is>
      </c>
      <c r="D495" t="inlineStr">
        <is>
          <t>30-59</t>
        </is>
      </c>
      <c r="E495" t="n">
        <v>30</v>
      </c>
      <c r="F495" t="n">
        <v>12</v>
      </c>
      <c r="G495" t="n">
        <v>35263.93</v>
      </c>
      <c r="H495">
        <f>IFERROR(VLOOKUP(C495,Lookups!$A$3:$C$7,3,FALSE),"UNMAPPED")</f>
        <v/>
      </c>
    </row>
    <row r="496">
      <c r="A496" s="5" t="n">
        <v>45808</v>
      </c>
      <c r="B496" t="inlineStr">
        <is>
          <t>PL</t>
        </is>
      </c>
      <c r="C496" t="inlineStr">
        <is>
          <t>CC_CLASSIC</t>
        </is>
      </c>
      <c r="D496" t="inlineStr">
        <is>
          <t>60-89</t>
        </is>
      </c>
      <c r="E496" t="n">
        <v>60</v>
      </c>
      <c r="F496" t="n">
        <v>10</v>
      </c>
      <c r="G496" t="n">
        <v>23685.41</v>
      </c>
      <c r="H496">
        <f>IFERROR(VLOOKUP(C496,Lookups!$A$3:$C$7,3,FALSE),"UNMAPPED")</f>
        <v/>
      </c>
    </row>
    <row r="497">
      <c r="A497" s="5" t="n">
        <v>45808</v>
      </c>
      <c r="B497" t="inlineStr">
        <is>
          <t>PL</t>
        </is>
      </c>
      <c r="C497" t="inlineStr">
        <is>
          <t>CC_CLASSIC</t>
        </is>
      </c>
      <c r="D497" t="inlineStr">
        <is>
          <t>90-179</t>
        </is>
      </c>
      <c r="E497" t="n">
        <v>90</v>
      </c>
      <c r="F497" t="n">
        <v>27</v>
      </c>
      <c r="G497" t="n">
        <v>96613.69</v>
      </c>
      <c r="H497">
        <f>IFERROR(VLOOKUP(C497,Lookups!$A$3:$C$7,3,FALSE),"UNMAPPED")</f>
        <v/>
      </c>
    </row>
    <row r="498">
      <c r="A498" s="5" t="n">
        <v>45808</v>
      </c>
      <c r="B498" t="inlineStr">
        <is>
          <t>PL</t>
        </is>
      </c>
      <c r="C498" t="inlineStr">
        <is>
          <t>CC_CONSOL</t>
        </is>
      </c>
      <c r="D498" t="inlineStr">
        <is>
          <t>Current</t>
        </is>
      </c>
      <c r="E498" t="n">
        <v>0</v>
      </c>
      <c r="F498" t="n">
        <v>44</v>
      </c>
      <c r="G498" t="n">
        <v>1255424.84</v>
      </c>
      <c r="H498">
        <f>IFERROR(VLOOKUP(C498,Lookups!$A$3:$C$7,3,FALSE),"UNMAPPED")</f>
        <v/>
      </c>
    </row>
    <row r="499">
      <c r="A499" s="5" t="n">
        <v>45808</v>
      </c>
      <c r="B499" t="inlineStr">
        <is>
          <t>PL</t>
        </is>
      </c>
      <c r="C499" t="inlineStr">
        <is>
          <t>CC_GOLD</t>
        </is>
      </c>
      <c r="D499" t="inlineStr">
        <is>
          <t>Current</t>
        </is>
      </c>
      <c r="E499" t="n">
        <v>0</v>
      </c>
      <c r="F499" t="n">
        <v>431</v>
      </c>
      <c r="G499" t="n">
        <v>4296589.89</v>
      </c>
      <c r="H499">
        <f>IFERROR(VLOOKUP(C499,Lookups!$A$3:$C$7,3,FALSE),"UNMAPPED")</f>
        <v/>
      </c>
    </row>
    <row r="500">
      <c r="A500" s="5" t="n">
        <v>45808</v>
      </c>
      <c r="B500" t="inlineStr">
        <is>
          <t>PL</t>
        </is>
      </c>
      <c r="C500" t="inlineStr">
        <is>
          <t>CC_GOLD</t>
        </is>
      </c>
      <c r="D500" t="inlineStr">
        <is>
          <t>1-29</t>
        </is>
      </c>
      <c r="E500" t="n">
        <v>1</v>
      </c>
      <c r="F500" t="n">
        <v>3</v>
      </c>
      <c r="G500" t="n">
        <v>32395.99</v>
      </c>
      <c r="H500">
        <f>IFERROR(VLOOKUP(C500,Lookups!$A$3:$C$7,3,FALSE),"UNMAPPED")</f>
        <v/>
      </c>
    </row>
    <row r="501">
      <c r="A501" s="5" t="n">
        <v>45808</v>
      </c>
      <c r="B501" t="inlineStr">
        <is>
          <t>PL</t>
        </is>
      </c>
      <c r="C501" t="inlineStr">
        <is>
          <t>CC_GOLD</t>
        </is>
      </c>
      <c r="D501" t="inlineStr">
        <is>
          <t>30-59</t>
        </is>
      </c>
      <c r="E501" t="n">
        <v>30</v>
      </c>
      <c r="F501" t="n">
        <v>3</v>
      </c>
      <c r="G501" t="n">
        <v>37645.46</v>
      </c>
      <c r="H501">
        <f>IFERROR(VLOOKUP(C501,Lookups!$A$3:$C$7,3,FALSE),"UNMAPPED")</f>
        <v/>
      </c>
    </row>
    <row r="502">
      <c r="A502" s="5" t="n">
        <v>45808</v>
      </c>
      <c r="B502" t="inlineStr">
        <is>
          <t>PL</t>
        </is>
      </c>
      <c r="C502" t="inlineStr">
        <is>
          <t>CC_GOLD</t>
        </is>
      </c>
      <c r="D502" t="inlineStr">
        <is>
          <t>60-89</t>
        </is>
      </c>
      <c r="E502" t="n">
        <v>60</v>
      </c>
      <c r="F502" t="n">
        <v>4</v>
      </c>
      <c r="G502" t="n">
        <v>59010.41</v>
      </c>
      <c r="H502">
        <f>IFERROR(VLOOKUP(C502,Lookups!$A$3:$C$7,3,FALSE),"UNMAPPED")</f>
        <v/>
      </c>
    </row>
    <row r="503">
      <c r="A503" s="5" t="n">
        <v>45808</v>
      </c>
      <c r="B503" t="inlineStr">
        <is>
          <t>PL</t>
        </is>
      </c>
      <c r="C503" t="inlineStr">
        <is>
          <t>CC_GOLD</t>
        </is>
      </c>
      <c r="D503" t="inlineStr">
        <is>
          <t>90-179</t>
        </is>
      </c>
      <c r="E503" t="n">
        <v>90</v>
      </c>
      <c r="F503" t="n">
        <v>4</v>
      </c>
      <c r="G503" t="n">
        <v>51647.55</v>
      </c>
      <c r="H503">
        <f>IFERROR(VLOOKUP(C503,Lookups!$A$3:$C$7,3,FALSE),"UNMAPPED")</f>
        <v/>
      </c>
    </row>
    <row r="504">
      <c r="A504" s="5" t="n">
        <v>45808</v>
      </c>
      <c r="B504" t="inlineStr">
        <is>
          <t>PL</t>
        </is>
      </c>
      <c r="C504" t="inlineStr">
        <is>
          <t>PL_PREM</t>
        </is>
      </c>
      <c r="D504" t="inlineStr">
        <is>
          <t>Current</t>
        </is>
      </c>
      <c r="E504" t="n">
        <v>0</v>
      </c>
      <c r="F504" t="n">
        <v>456</v>
      </c>
      <c r="G504" t="n">
        <v>19422914.3</v>
      </c>
      <c r="H504">
        <f>IFERROR(VLOOKUP(C504,Lookups!$A$3:$C$7,3,FALSE),"UNMAPPED")</f>
        <v/>
      </c>
    </row>
    <row r="505">
      <c r="A505" s="5" t="n">
        <v>45808</v>
      </c>
      <c r="B505" t="inlineStr">
        <is>
          <t>PL</t>
        </is>
      </c>
      <c r="C505" t="inlineStr">
        <is>
          <t>PL_PREM</t>
        </is>
      </c>
      <c r="D505" t="inlineStr">
        <is>
          <t>1-29</t>
        </is>
      </c>
      <c r="E505" t="n">
        <v>1</v>
      </c>
      <c r="F505" t="n">
        <v>10</v>
      </c>
      <c r="G505" t="n">
        <v>299462.88</v>
      </c>
      <c r="H505">
        <f>IFERROR(VLOOKUP(C505,Lookups!$A$3:$C$7,3,FALSE),"UNMAPPED")</f>
        <v/>
      </c>
    </row>
    <row r="506">
      <c r="A506" s="5" t="n">
        <v>45808</v>
      </c>
      <c r="B506" t="inlineStr">
        <is>
          <t>PL</t>
        </is>
      </c>
      <c r="C506" t="inlineStr">
        <is>
          <t>PL_PREM</t>
        </is>
      </c>
      <c r="D506" t="inlineStr">
        <is>
          <t>30-59</t>
        </is>
      </c>
      <c r="E506" t="n">
        <v>30</v>
      </c>
      <c r="F506" t="n">
        <v>3</v>
      </c>
      <c r="G506" t="n">
        <v>171055.93</v>
      </c>
      <c r="H506">
        <f>IFERROR(VLOOKUP(C506,Lookups!$A$3:$C$7,3,FALSE),"UNMAPPED")</f>
        <v/>
      </c>
    </row>
    <row r="507">
      <c r="A507" s="5" t="n">
        <v>45808</v>
      </c>
      <c r="B507" t="inlineStr">
        <is>
          <t>PL</t>
        </is>
      </c>
      <c r="C507" t="inlineStr">
        <is>
          <t>PL_PREM</t>
        </is>
      </c>
      <c r="D507" t="inlineStr">
        <is>
          <t>60-89</t>
        </is>
      </c>
      <c r="E507" t="n">
        <v>60</v>
      </c>
      <c r="F507" t="n">
        <v>3</v>
      </c>
      <c r="G507" t="n">
        <v>154724.1</v>
      </c>
      <c r="H507">
        <f>IFERROR(VLOOKUP(C507,Lookups!$A$3:$C$7,3,FALSE),"UNMAPPED")</f>
        <v/>
      </c>
    </row>
    <row r="508">
      <c r="A508" s="5" t="n">
        <v>45808</v>
      </c>
      <c r="B508" t="inlineStr">
        <is>
          <t>PL</t>
        </is>
      </c>
      <c r="C508" t="inlineStr">
        <is>
          <t>PL_PREM</t>
        </is>
      </c>
      <c r="D508" t="inlineStr">
        <is>
          <t>90-179</t>
        </is>
      </c>
      <c r="E508" t="n">
        <v>90</v>
      </c>
      <c r="F508" t="n">
        <v>6</v>
      </c>
      <c r="G508" t="n">
        <v>289076.16</v>
      </c>
      <c r="H508">
        <f>IFERROR(VLOOKUP(C508,Lookups!$A$3:$C$7,3,FALSE),"UNMAPPED")</f>
        <v/>
      </c>
    </row>
    <row r="509">
      <c r="A509" s="5" t="n">
        <v>45808</v>
      </c>
      <c r="B509" t="inlineStr">
        <is>
          <t>PL</t>
        </is>
      </c>
      <c r="C509" t="inlineStr">
        <is>
          <t>PL_STD</t>
        </is>
      </c>
      <c r="D509" t="inlineStr">
        <is>
          <t>Current</t>
        </is>
      </c>
      <c r="E509" t="n">
        <v>0</v>
      </c>
      <c r="F509" t="n">
        <v>1087</v>
      </c>
      <c r="G509" t="n">
        <v>12871693.33</v>
      </c>
      <c r="H509">
        <f>IFERROR(VLOOKUP(C509,Lookups!$A$3:$C$7,3,FALSE),"UNMAPPED")</f>
        <v/>
      </c>
    </row>
    <row r="510">
      <c r="A510" s="5" t="n">
        <v>45808</v>
      </c>
      <c r="B510" t="inlineStr">
        <is>
          <t>PL</t>
        </is>
      </c>
      <c r="C510" t="inlineStr">
        <is>
          <t>PL_STD</t>
        </is>
      </c>
      <c r="D510" t="inlineStr">
        <is>
          <t>1-29</t>
        </is>
      </c>
      <c r="E510" t="n">
        <v>1</v>
      </c>
      <c r="F510" t="n">
        <v>21</v>
      </c>
      <c r="G510" t="n">
        <v>264530.49</v>
      </c>
      <c r="H510">
        <f>IFERROR(VLOOKUP(C510,Lookups!$A$3:$C$7,3,FALSE),"UNMAPPED")</f>
        <v/>
      </c>
    </row>
    <row r="511">
      <c r="A511" s="5" t="n">
        <v>45808</v>
      </c>
      <c r="B511" t="inlineStr">
        <is>
          <t>PL</t>
        </is>
      </c>
      <c r="C511" t="inlineStr">
        <is>
          <t>PL_STD</t>
        </is>
      </c>
      <c r="D511" t="inlineStr">
        <is>
          <t>30-59</t>
        </is>
      </c>
      <c r="E511" t="n">
        <v>30</v>
      </c>
      <c r="F511" t="n">
        <v>5</v>
      </c>
      <c r="G511" t="n">
        <v>56189.34</v>
      </c>
      <c r="H511">
        <f>IFERROR(VLOOKUP(C511,Lookups!$A$3:$C$7,3,FALSE),"UNMAPPED")</f>
        <v/>
      </c>
    </row>
    <row r="512">
      <c r="A512" s="5" t="n">
        <v>45808</v>
      </c>
      <c r="B512" t="inlineStr">
        <is>
          <t>PL</t>
        </is>
      </c>
      <c r="C512" t="inlineStr">
        <is>
          <t>PL_STD</t>
        </is>
      </c>
      <c r="D512" t="inlineStr">
        <is>
          <t>60-89</t>
        </is>
      </c>
      <c r="E512" t="n">
        <v>60</v>
      </c>
      <c r="F512" t="n">
        <v>9</v>
      </c>
      <c r="G512" t="n">
        <v>114771.56</v>
      </c>
      <c r="H512">
        <f>IFERROR(VLOOKUP(C512,Lookups!$A$3:$C$7,3,FALSE),"UNMAPPED")</f>
        <v/>
      </c>
    </row>
    <row r="513">
      <c r="A513" s="5" t="n">
        <v>45808</v>
      </c>
      <c r="B513" t="inlineStr">
        <is>
          <t>PL</t>
        </is>
      </c>
      <c r="C513" t="inlineStr">
        <is>
          <t>PL_STD</t>
        </is>
      </c>
      <c r="D513" t="inlineStr">
        <is>
          <t>90-179</t>
        </is>
      </c>
      <c r="E513" t="n">
        <v>90</v>
      </c>
      <c r="F513" t="n">
        <v>9</v>
      </c>
      <c r="G513" t="n">
        <v>133284.74</v>
      </c>
      <c r="H513">
        <f>IFERROR(VLOOKUP(C513,Lookups!$A$3:$C$7,3,FALSE),"UNMAPPED")</f>
        <v/>
      </c>
    </row>
    <row r="514">
      <c r="A514" s="5" t="n">
        <v>45808</v>
      </c>
      <c r="B514" t="inlineStr">
        <is>
          <t>RO</t>
        </is>
      </c>
      <c r="C514" t="inlineStr">
        <is>
          <t>CC_CLASSIC</t>
        </is>
      </c>
      <c r="D514" t="inlineStr">
        <is>
          <t>Current</t>
        </is>
      </c>
      <c r="E514" t="n">
        <v>0</v>
      </c>
      <c r="F514" t="n">
        <v>789</v>
      </c>
      <c r="G514" t="n">
        <v>2532973.44</v>
      </c>
      <c r="H514">
        <f>IFERROR(VLOOKUP(C514,Lookups!$A$3:$C$7,3,FALSE),"UNMAPPED")</f>
        <v/>
      </c>
    </row>
    <row r="515">
      <c r="A515" s="5" t="n">
        <v>45808</v>
      </c>
      <c r="B515" t="inlineStr">
        <is>
          <t>RO</t>
        </is>
      </c>
      <c r="C515" t="inlineStr">
        <is>
          <t>CC_CLASSIC</t>
        </is>
      </c>
      <c r="D515" t="inlineStr">
        <is>
          <t>1-29</t>
        </is>
      </c>
      <c r="E515" t="n">
        <v>1</v>
      </c>
      <c r="F515" t="n">
        <v>10</v>
      </c>
      <c r="G515" t="n">
        <v>31478.33</v>
      </c>
      <c r="H515">
        <f>IFERROR(VLOOKUP(C515,Lookups!$A$3:$C$7,3,FALSE),"UNMAPPED")</f>
        <v/>
      </c>
    </row>
    <row r="516">
      <c r="A516" s="5" t="n">
        <v>45808</v>
      </c>
      <c r="B516" t="inlineStr">
        <is>
          <t>RO</t>
        </is>
      </c>
      <c r="C516" t="inlineStr">
        <is>
          <t>CC_CLASSIC</t>
        </is>
      </c>
      <c r="D516" t="inlineStr">
        <is>
          <t>30-59</t>
        </is>
      </c>
      <c r="E516" t="n">
        <v>30</v>
      </c>
      <c r="F516" t="n">
        <v>5</v>
      </c>
      <c r="G516" t="n">
        <v>6719.89</v>
      </c>
      <c r="H516">
        <f>IFERROR(VLOOKUP(C516,Lookups!$A$3:$C$7,3,FALSE),"UNMAPPED")</f>
        <v/>
      </c>
    </row>
    <row r="517">
      <c r="A517" s="5" t="n">
        <v>45808</v>
      </c>
      <c r="B517" t="inlineStr">
        <is>
          <t>RO</t>
        </is>
      </c>
      <c r="C517" t="inlineStr">
        <is>
          <t>CC_CLASSIC</t>
        </is>
      </c>
      <c r="D517" t="inlineStr">
        <is>
          <t>60-89</t>
        </is>
      </c>
      <c r="E517" t="n">
        <v>60</v>
      </c>
      <c r="F517" t="n">
        <v>5</v>
      </c>
      <c r="G517" t="n">
        <v>21488.68</v>
      </c>
      <c r="H517">
        <f>IFERROR(VLOOKUP(C517,Lookups!$A$3:$C$7,3,FALSE),"UNMAPPED")</f>
        <v/>
      </c>
    </row>
    <row r="518">
      <c r="A518" s="5" t="n">
        <v>45808</v>
      </c>
      <c r="B518" t="inlineStr">
        <is>
          <t>RO</t>
        </is>
      </c>
      <c r="C518" t="inlineStr">
        <is>
          <t>CC_CLASSIC</t>
        </is>
      </c>
      <c r="D518" t="inlineStr">
        <is>
          <t>90-179</t>
        </is>
      </c>
      <c r="E518" t="n">
        <v>90</v>
      </c>
      <c r="F518" t="n">
        <v>18</v>
      </c>
      <c r="G518" t="n">
        <v>91531.81</v>
      </c>
      <c r="H518">
        <f>IFERROR(VLOOKUP(C518,Lookups!$A$3:$C$7,3,FALSE),"UNMAPPED")</f>
        <v/>
      </c>
    </row>
    <row r="519">
      <c r="A519" s="5" t="n">
        <v>45808</v>
      </c>
      <c r="B519" t="inlineStr">
        <is>
          <t>RO</t>
        </is>
      </c>
      <c r="C519" t="inlineStr">
        <is>
          <t>CC_CONSOL</t>
        </is>
      </c>
      <c r="D519" t="inlineStr">
        <is>
          <t>Current</t>
        </is>
      </c>
      <c r="E519" t="n">
        <v>0</v>
      </c>
      <c r="F519" t="n">
        <v>30</v>
      </c>
      <c r="G519" t="n">
        <v>1135493.37</v>
      </c>
      <c r="H519">
        <f>IFERROR(VLOOKUP(C519,Lookups!$A$3:$C$7,3,FALSE),"UNMAPPED")</f>
        <v/>
      </c>
    </row>
    <row r="520">
      <c r="A520" s="5" t="n">
        <v>45808</v>
      </c>
      <c r="B520" t="inlineStr">
        <is>
          <t>RO</t>
        </is>
      </c>
      <c r="C520" t="inlineStr">
        <is>
          <t>CC_GOLD</t>
        </is>
      </c>
      <c r="D520" t="inlineStr">
        <is>
          <t>Current</t>
        </is>
      </c>
      <c r="E520" t="n">
        <v>0</v>
      </c>
      <c r="F520" t="n">
        <v>208</v>
      </c>
      <c r="G520" t="n">
        <v>2384208.52</v>
      </c>
      <c r="H520">
        <f>IFERROR(VLOOKUP(C520,Lookups!$A$3:$C$7,3,FALSE),"UNMAPPED")</f>
        <v/>
      </c>
    </row>
    <row r="521">
      <c r="A521" s="5" t="n">
        <v>45808</v>
      </c>
      <c r="B521" t="inlineStr">
        <is>
          <t>RO</t>
        </is>
      </c>
      <c r="C521" t="inlineStr">
        <is>
          <t>CC_GOLD</t>
        </is>
      </c>
      <c r="D521" t="inlineStr">
        <is>
          <t>1-29</t>
        </is>
      </c>
      <c r="E521" t="n">
        <v>1</v>
      </c>
      <c r="F521" t="n">
        <v>6</v>
      </c>
      <c r="G521" t="n">
        <v>89354.42</v>
      </c>
      <c r="H521">
        <f>IFERROR(VLOOKUP(C521,Lookups!$A$3:$C$7,3,FALSE),"UNMAPPED")</f>
        <v/>
      </c>
    </row>
    <row r="522">
      <c r="A522" s="5" t="n">
        <v>45808</v>
      </c>
      <c r="B522" t="inlineStr">
        <is>
          <t>RO</t>
        </is>
      </c>
      <c r="C522" t="inlineStr">
        <is>
          <t>CC_GOLD</t>
        </is>
      </c>
      <c r="D522" t="inlineStr">
        <is>
          <t>30-59</t>
        </is>
      </c>
      <c r="E522" t="n">
        <v>30</v>
      </c>
      <c r="F522" t="n">
        <v>1</v>
      </c>
      <c r="G522" t="n">
        <v>10306.81</v>
      </c>
      <c r="H522">
        <f>IFERROR(VLOOKUP(C522,Lookups!$A$3:$C$7,3,FALSE),"UNMAPPED")</f>
        <v/>
      </c>
    </row>
    <row r="523">
      <c r="A523" s="5" t="n">
        <v>45808</v>
      </c>
      <c r="B523" t="inlineStr">
        <is>
          <t>RO</t>
        </is>
      </c>
      <c r="C523" t="inlineStr">
        <is>
          <t>CC_GOLD</t>
        </is>
      </c>
      <c r="D523" t="inlineStr">
        <is>
          <t>60-89</t>
        </is>
      </c>
      <c r="E523" t="n">
        <v>60</v>
      </c>
      <c r="F523" t="n">
        <v>2</v>
      </c>
      <c r="G523" t="n">
        <v>37195.34</v>
      </c>
      <c r="H523">
        <f>IFERROR(VLOOKUP(C523,Lookups!$A$3:$C$7,3,FALSE),"UNMAPPED")</f>
        <v/>
      </c>
    </row>
    <row r="524">
      <c r="A524" s="5" t="n">
        <v>45808</v>
      </c>
      <c r="B524" t="inlineStr">
        <is>
          <t>RO</t>
        </is>
      </c>
      <c r="C524" t="inlineStr">
        <is>
          <t>CC_GOLD</t>
        </is>
      </c>
      <c r="D524" t="inlineStr">
        <is>
          <t>90-179</t>
        </is>
      </c>
      <c r="E524" t="n">
        <v>90</v>
      </c>
      <c r="F524" t="n">
        <v>9</v>
      </c>
      <c r="G524" t="n">
        <v>71415.84</v>
      </c>
      <c r="H524">
        <f>IFERROR(VLOOKUP(C524,Lookups!$A$3:$C$7,3,FALSE),"UNMAPPED")</f>
        <v/>
      </c>
    </row>
    <row r="525">
      <c r="A525" s="5" t="n">
        <v>45808</v>
      </c>
      <c r="B525" t="inlineStr">
        <is>
          <t>RO</t>
        </is>
      </c>
      <c r="C525" t="inlineStr">
        <is>
          <t>PL_PREM</t>
        </is>
      </c>
      <c r="D525" t="inlineStr">
        <is>
          <t>Current</t>
        </is>
      </c>
      <c r="E525" t="n">
        <v>0</v>
      </c>
      <c r="F525" t="n">
        <v>270</v>
      </c>
      <c r="G525" t="n">
        <v>12928314.37</v>
      </c>
      <c r="H525">
        <f>IFERROR(VLOOKUP(C525,Lookups!$A$3:$C$7,3,FALSE),"UNMAPPED")</f>
        <v/>
      </c>
    </row>
    <row r="526">
      <c r="A526" s="5" t="n">
        <v>45808</v>
      </c>
      <c r="B526" t="inlineStr">
        <is>
          <t>RO</t>
        </is>
      </c>
      <c r="C526" t="inlineStr">
        <is>
          <t>PL_PREM</t>
        </is>
      </c>
      <c r="D526" t="inlineStr">
        <is>
          <t>1-29</t>
        </is>
      </c>
      <c r="E526" t="n">
        <v>1</v>
      </c>
      <c r="F526" t="n">
        <v>6</v>
      </c>
      <c r="G526" t="n">
        <v>342745.23</v>
      </c>
      <c r="H526">
        <f>IFERROR(VLOOKUP(C526,Lookups!$A$3:$C$7,3,FALSE),"UNMAPPED")</f>
        <v/>
      </c>
    </row>
    <row r="527">
      <c r="A527" s="5" t="n">
        <v>45808</v>
      </c>
      <c r="B527" t="inlineStr">
        <is>
          <t>RO</t>
        </is>
      </c>
      <c r="C527" t="inlineStr">
        <is>
          <t>PL_PREM</t>
        </is>
      </c>
      <c r="D527" t="inlineStr">
        <is>
          <t>30-59</t>
        </is>
      </c>
      <c r="E527" t="n">
        <v>30</v>
      </c>
      <c r="F527" t="n">
        <v>5</v>
      </c>
      <c r="G527" t="n">
        <v>172698.19</v>
      </c>
      <c r="H527">
        <f>IFERROR(VLOOKUP(C527,Lookups!$A$3:$C$7,3,FALSE),"UNMAPPED")</f>
        <v/>
      </c>
    </row>
    <row r="528">
      <c r="A528" s="5" t="n">
        <v>45808</v>
      </c>
      <c r="B528" t="inlineStr">
        <is>
          <t>RO</t>
        </is>
      </c>
      <c r="C528" t="inlineStr">
        <is>
          <t>PL_PREM</t>
        </is>
      </c>
      <c r="D528" t="inlineStr">
        <is>
          <t>60-89</t>
        </is>
      </c>
      <c r="E528" t="n">
        <v>60</v>
      </c>
      <c r="F528" t="n">
        <v>2</v>
      </c>
      <c r="G528" t="n">
        <v>59720.86</v>
      </c>
      <c r="H528">
        <f>IFERROR(VLOOKUP(C528,Lookups!$A$3:$C$7,3,FALSE),"UNMAPPED")</f>
        <v/>
      </c>
    </row>
    <row r="529">
      <c r="A529" s="5" t="n">
        <v>45808</v>
      </c>
      <c r="B529" t="inlineStr">
        <is>
          <t>RO</t>
        </is>
      </c>
      <c r="C529" t="inlineStr">
        <is>
          <t>PL_PREM</t>
        </is>
      </c>
      <c r="D529" t="inlineStr">
        <is>
          <t>90-179</t>
        </is>
      </c>
      <c r="E529" t="n">
        <v>90</v>
      </c>
      <c r="F529" t="n">
        <v>4</v>
      </c>
      <c r="G529" t="n">
        <v>199515.47</v>
      </c>
      <c r="H529">
        <f>IFERROR(VLOOKUP(C529,Lookups!$A$3:$C$7,3,FALSE),"UNMAPPED")</f>
        <v/>
      </c>
    </row>
    <row r="530">
      <c r="A530" s="5" t="n">
        <v>45808</v>
      </c>
      <c r="B530" t="inlineStr">
        <is>
          <t>RO</t>
        </is>
      </c>
      <c r="C530" t="inlineStr">
        <is>
          <t>PL_STD</t>
        </is>
      </c>
      <c r="D530" t="inlineStr">
        <is>
          <t>Current</t>
        </is>
      </c>
      <c r="E530" t="n">
        <v>0</v>
      </c>
      <c r="F530" t="n">
        <v>704</v>
      </c>
      <c r="G530" t="n">
        <v>10866592.63</v>
      </c>
      <c r="H530">
        <f>IFERROR(VLOOKUP(C530,Lookups!$A$3:$C$7,3,FALSE),"UNMAPPED")</f>
        <v/>
      </c>
    </row>
    <row r="531">
      <c r="A531" s="5" t="n">
        <v>45808</v>
      </c>
      <c r="B531" t="inlineStr">
        <is>
          <t>RO</t>
        </is>
      </c>
      <c r="C531" t="inlineStr">
        <is>
          <t>PL_STD</t>
        </is>
      </c>
      <c r="D531" t="inlineStr">
        <is>
          <t>1-29</t>
        </is>
      </c>
      <c r="E531" t="n">
        <v>1</v>
      </c>
      <c r="F531" t="n">
        <v>15</v>
      </c>
      <c r="G531" t="n">
        <v>236779.22</v>
      </c>
      <c r="H531">
        <f>IFERROR(VLOOKUP(C531,Lookups!$A$3:$C$7,3,FALSE),"UNMAPPED")</f>
        <v/>
      </c>
    </row>
    <row r="532">
      <c r="A532" s="5" t="n">
        <v>45808</v>
      </c>
      <c r="B532" t="inlineStr">
        <is>
          <t>RO</t>
        </is>
      </c>
      <c r="C532" t="inlineStr">
        <is>
          <t>PL_STD</t>
        </is>
      </c>
      <c r="D532" t="inlineStr">
        <is>
          <t>30-59</t>
        </is>
      </c>
      <c r="E532" t="n">
        <v>30</v>
      </c>
      <c r="F532" t="n">
        <v>5</v>
      </c>
      <c r="G532" t="n">
        <v>74479.97</v>
      </c>
      <c r="H532">
        <f>IFERROR(VLOOKUP(C532,Lookups!$A$3:$C$7,3,FALSE),"UNMAPPED")</f>
        <v/>
      </c>
    </row>
    <row r="533">
      <c r="A533" s="5" t="n">
        <v>45808</v>
      </c>
      <c r="B533" t="inlineStr">
        <is>
          <t>RO</t>
        </is>
      </c>
      <c r="C533" t="inlineStr">
        <is>
          <t>PL_STD</t>
        </is>
      </c>
      <c r="D533" t="inlineStr">
        <is>
          <t>60-89</t>
        </is>
      </c>
      <c r="E533" t="n">
        <v>60</v>
      </c>
      <c r="F533" t="n">
        <v>7</v>
      </c>
      <c r="G533" t="n">
        <v>46677.03</v>
      </c>
      <c r="H533">
        <f>IFERROR(VLOOKUP(C533,Lookups!$A$3:$C$7,3,FALSE),"UNMAPPED")</f>
        <v/>
      </c>
    </row>
    <row r="534">
      <c r="A534" s="5" t="n">
        <v>45808</v>
      </c>
      <c r="B534" t="inlineStr">
        <is>
          <t>RO</t>
        </is>
      </c>
      <c r="C534" t="inlineStr">
        <is>
          <t>PL_STD</t>
        </is>
      </c>
      <c r="D534" t="inlineStr">
        <is>
          <t>90-179</t>
        </is>
      </c>
      <c r="E534" t="n">
        <v>90</v>
      </c>
      <c r="F534" t="n">
        <v>10</v>
      </c>
      <c r="G534" t="n">
        <v>107682.54</v>
      </c>
      <c r="H534">
        <f>IFERROR(VLOOKUP(C534,Lookups!$A$3:$C$7,3,FALSE),"UNMAPPED")</f>
        <v/>
      </c>
    </row>
    <row r="535">
      <c r="A535" s="5" t="n">
        <v>45838</v>
      </c>
      <c r="B535" t="inlineStr">
        <is>
          <t>CZ</t>
        </is>
      </c>
      <c r="C535" t="inlineStr">
        <is>
          <t>CC_CLASSIC</t>
        </is>
      </c>
      <c r="D535" t="inlineStr">
        <is>
          <t>Current</t>
        </is>
      </c>
      <c r="E535" t="n">
        <v>0</v>
      </c>
      <c r="F535" t="n">
        <v>1134</v>
      </c>
      <c r="G535" t="n">
        <v>18086709.95</v>
      </c>
      <c r="H535">
        <f>IFERROR(VLOOKUP(C535,Lookups!$A$3:$C$7,3,FALSE),"UNMAPPED")</f>
        <v/>
      </c>
    </row>
    <row r="536">
      <c r="A536" s="5" t="n">
        <v>45838</v>
      </c>
      <c r="B536" t="inlineStr">
        <is>
          <t>CZ</t>
        </is>
      </c>
      <c r="C536" t="inlineStr">
        <is>
          <t>CC_CLASSIC</t>
        </is>
      </c>
      <c r="D536" t="inlineStr">
        <is>
          <t>1-29</t>
        </is>
      </c>
      <c r="E536" t="n">
        <v>1</v>
      </c>
      <c r="F536" t="n">
        <v>15</v>
      </c>
      <c r="G536" t="n">
        <v>370581.1</v>
      </c>
      <c r="H536">
        <f>IFERROR(VLOOKUP(C536,Lookups!$A$3:$C$7,3,FALSE),"UNMAPPED")</f>
        <v/>
      </c>
    </row>
    <row r="537">
      <c r="A537" s="5" t="n">
        <v>45838</v>
      </c>
      <c r="B537" t="inlineStr">
        <is>
          <t>CZ</t>
        </is>
      </c>
      <c r="C537" t="inlineStr">
        <is>
          <t>CC_CLASSIC</t>
        </is>
      </c>
      <c r="D537" t="inlineStr">
        <is>
          <t>30-59</t>
        </is>
      </c>
      <c r="E537" t="n">
        <v>30</v>
      </c>
      <c r="F537" t="n">
        <v>9</v>
      </c>
      <c r="G537" t="n">
        <v>234544.67</v>
      </c>
      <c r="H537">
        <f>IFERROR(VLOOKUP(C537,Lookups!$A$3:$C$7,3,FALSE),"UNMAPPED")</f>
        <v/>
      </c>
    </row>
    <row r="538">
      <c r="A538" s="5" t="n">
        <v>45838</v>
      </c>
      <c r="B538" t="inlineStr">
        <is>
          <t>CZ</t>
        </is>
      </c>
      <c r="C538" t="inlineStr">
        <is>
          <t>CC_CLASSIC</t>
        </is>
      </c>
      <c r="D538" t="inlineStr">
        <is>
          <t>60-89</t>
        </is>
      </c>
      <c r="E538" t="n">
        <v>60</v>
      </c>
      <c r="F538" t="n">
        <v>3</v>
      </c>
      <c r="G538" t="n">
        <v>31772.14</v>
      </c>
      <c r="H538">
        <f>IFERROR(VLOOKUP(C538,Lookups!$A$3:$C$7,3,FALSE),"UNMAPPED")</f>
        <v/>
      </c>
    </row>
    <row r="539">
      <c r="A539" s="5" t="n">
        <v>45838</v>
      </c>
      <c r="B539" t="inlineStr">
        <is>
          <t>CZ</t>
        </is>
      </c>
      <c r="C539" t="inlineStr">
        <is>
          <t>CC_CLASSIC</t>
        </is>
      </c>
      <c r="D539" t="inlineStr">
        <is>
          <t>90-179</t>
        </is>
      </c>
      <c r="E539" t="n">
        <v>90</v>
      </c>
      <c r="F539" t="n">
        <v>19</v>
      </c>
      <c r="G539" t="n">
        <v>332041.7</v>
      </c>
      <c r="H539">
        <f>IFERROR(VLOOKUP(C539,Lookups!$A$3:$C$7,3,FALSE),"UNMAPPED")</f>
        <v/>
      </c>
    </row>
    <row r="540">
      <c r="A540" s="5" t="n">
        <v>45838</v>
      </c>
      <c r="B540" t="inlineStr">
        <is>
          <t>CZ</t>
        </is>
      </c>
      <c r="C540" t="inlineStr">
        <is>
          <t>CC_CONSOL</t>
        </is>
      </c>
      <c r="D540" t="inlineStr">
        <is>
          <t>Current</t>
        </is>
      </c>
      <c r="E540" t="n">
        <v>0</v>
      </c>
      <c r="F540" t="n">
        <v>46</v>
      </c>
      <c r="G540" t="n">
        <v>7700012.67</v>
      </c>
      <c r="H540">
        <f>IFERROR(VLOOKUP(C540,Lookups!$A$3:$C$7,3,FALSE),"UNMAPPED")</f>
        <v/>
      </c>
    </row>
    <row r="541">
      <c r="A541" s="5" t="n">
        <v>45838</v>
      </c>
      <c r="B541" t="inlineStr">
        <is>
          <t>CZ</t>
        </is>
      </c>
      <c r="C541" t="inlineStr">
        <is>
          <t>CC_GOLD</t>
        </is>
      </c>
      <c r="D541" t="inlineStr">
        <is>
          <t>Current</t>
        </is>
      </c>
      <c r="E541" t="n">
        <v>0</v>
      </c>
      <c r="F541" t="n">
        <v>307</v>
      </c>
      <c r="G541" t="n">
        <v>17954176.9</v>
      </c>
      <c r="H541">
        <f>IFERROR(VLOOKUP(C541,Lookups!$A$3:$C$7,3,FALSE),"UNMAPPED")</f>
        <v/>
      </c>
    </row>
    <row r="542">
      <c r="A542" s="5" t="n">
        <v>45838</v>
      </c>
      <c r="B542" t="inlineStr">
        <is>
          <t>CZ</t>
        </is>
      </c>
      <c r="C542" t="inlineStr">
        <is>
          <t>CC_GOLD</t>
        </is>
      </c>
      <c r="D542" t="inlineStr">
        <is>
          <t>1-29</t>
        </is>
      </c>
      <c r="E542" t="n">
        <v>1</v>
      </c>
      <c r="F542" t="n">
        <v>4</v>
      </c>
      <c r="G542" t="n">
        <v>360725.12</v>
      </c>
      <c r="H542">
        <f>IFERROR(VLOOKUP(C542,Lookups!$A$3:$C$7,3,FALSE),"UNMAPPED")</f>
        <v/>
      </c>
    </row>
    <row r="543">
      <c r="A543" s="5" t="n">
        <v>45838</v>
      </c>
      <c r="B543" t="inlineStr">
        <is>
          <t>CZ</t>
        </is>
      </c>
      <c r="C543" t="inlineStr">
        <is>
          <t>CC_GOLD</t>
        </is>
      </c>
      <c r="D543" t="inlineStr">
        <is>
          <t>30-59</t>
        </is>
      </c>
      <c r="E543" t="n">
        <v>30</v>
      </c>
      <c r="F543" t="n">
        <v>3</v>
      </c>
      <c r="G543" t="n">
        <v>89459.24000000001</v>
      </c>
      <c r="H543">
        <f>IFERROR(VLOOKUP(C543,Lookups!$A$3:$C$7,3,FALSE),"UNMAPPED")</f>
        <v/>
      </c>
    </row>
    <row r="544">
      <c r="A544" s="5" t="n">
        <v>45838</v>
      </c>
      <c r="B544" t="inlineStr">
        <is>
          <t>CZ</t>
        </is>
      </c>
      <c r="C544" t="inlineStr">
        <is>
          <t>CC_GOLD</t>
        </is>
      </c>
      <c r="D544" t="inlineStr">
        <is>
          <t>60-89</t>
        </is>
      </c>
      <c r="E544" t="n">
        <v>60</v>
      </c>
      <c r="F544" t="n">
        <v>2</v>
      </c>
      <c r="G544" t="n">
        <v>52939.03</v>
      </c>
      <c r="H544">
        <f>IFERROR(VLOOKUP(C544,Lookups!$A$3:$C$7,3,FALSE),"UNMAPPED")</f>
        <v/>
      </c>
    </row>
    <row r="545">
      <c r="A545" s="5" t="n">
        <v>45838</v>
      </c>
      <c r="B545" t="inlineStr">
        <is>
          <t>CZ</t>
        </is>
      </c>
      <c r="C545" t="inlineStr">
        <is>
          <t>CC_GOLD</t>
        </is>
      </c>
      <c r="D545" t="inlineStr">
        <is>
          <t>90-179</t>
        </is>
      </c>
      <c r="E545" t="n">
        <v>90</v>
      </c>
      <c r="F545" t="n">
        <v>6</v>
      </c>
      <c r="G545" t="n">
        <v>366521.41</v>
      </c>
      <c r="H545">
        <f>IFERROR(VLOOKUP(C545,Lookups!$A$3:$C$7,3,FALSE),"UNMAPPED")</f>
        <v/>
      </c>
    </row>
    <row r="546">
      <c r="A546" s="5" t="n">
        <v>45838</v>
      </c>
      <c r="B546" t="inlineStr">
        <is>
          <t>CZ</t>
        </is>
      </c>
      <c r="C546" t="inlineStr">
        <is>
          <t>PL_PREM</t>
        </is>
      </c>
      <c r="D546" t="inlineStr">
        <is>
          <t>Current</t>
        </is>
      </c>
      <c r="E546" t="n">
        <v>0</v>
      </c>
      <c r="F546" t="n">
        <v>305</v>
      </c>
      <c r="G546" t="n">
        <v>71020827.17</v>
      </c>
      <c r="H546">
        <f>IFERROR(VLOOKUP(C546,Lookups!$A$3:$C$7,3,FALSE),"UNMAPPED")</f>
        <v/>
      </c>
    </row>
    <row r="547">
      <c r="A547" s="5" t="n">
        <v>45838</v>
      </c>
      <c r="B547" t="inlineStr">
        <is>
          <t>CZ</t>
        </is>
      </c>
      <c r="C547" t="inlineStr">
        <is>
          <t>PL_PREM</t>
        </is>
      </c>
      <c r="D547" t="inlineStr">
        <is>
          <t>1-29</t>
        </is>
      </c>
      <c r="E547" t="n">
        <v>1</v>
      </c>
      <c r="F547" t="n">
        <v>7</v>
      </c>
      <c r="G547" t="n">
        <v>1597580.01</v>
      </c>
      <c r="H547">
        <f>IFERROR(VLOOKUP(C547,Lookups!$A$3:$C$7,3,FALSE),"UNMAPPED")</f>
        <v/>
      </c>
    </row>
    <row r="548">
      <c r="A548" s="5" t="n">
        <v>45838</v>
      </c>
      <c r="B548" t="inlineStr">
        <is>
          <t>CZ</t>
        </is>
      </c>
      <c r="C548" t="inlineStr">
        <is>
          <t>PL_PREM</t>
        </is>
      </c>
      <c r="D548" t="inlineStr">
        <is>
          <t>30-59</t>
        </is>
      </c>
      <c r="E548" t="n">
        <v>30</v>
      </c>
      <c r="F548" t="n">
        <v>8</v>
      </c>
      <c r="G548" t="n">
        <v>1956932.31</v>
      </c>
      <c r="H548">
        <f>IFERROR(VLOOKUP(C548,Lookups!$A$3:$C$7,3,FALSE),"UNMAPPED")</f>
        <v/>
      </c>
    </row>
    <row r="549">
      <c r="A549" s="5" t="n">
        <v>45838</v>
      </c>
      <c r="B549" t="inlineStr">
        <is>
          <t>CZ</t>
        </is>
      </c>
      <c r="C549" t="inlineStr">
        <is>
          <t>PL_PREM</t>
        </is>
      </c>
      <c r="D549" t="inlineStr">
        <is>
          <t>60-89</t>
        </is>
      </c>
      <c r="E549" t="n">
        <v>60</v>
      </c>
      <c r="F549" t="n">
        <v>2</v>
      </c>
      <c r="G549" t="n">
        <v>828893.0600000001</v>
      </c>
      <c r="H549">
        <f>IFERROR(VLOOKUP(C549,Lookups!$A$3:$C$7,3,FALSE),"UNMAPPED")</f>
        <v/>
      </c>
    </row>
    <row r="550">
      <c r="A550" s="5" t="n">
        <v>45838</v>
      </c>
      <c r="B550" t="inlineStr">
        <is>
          <t>CZ</t>
        </is>
      </c>
      <c r="C550" t="inlineStr">
        <is>
          <t>PL_PREM</t>
        </is>
      </c>
      <c r="D550" t="inlineStr">
        <is>
          <t>90-179</t>
        </is>
      </c>
      <c r="E550" t="n">
        <v>90</v>
      </c>
      <c r="F550" t="n">
        <v>4</v>
      </c>
      <c r="G550" t="n">
        <v>1324654.3</v>
      </c>
      <c r="H550">
        <f>IFERROR(VLOOKUP(C550,Lookups!$A$3:$C$7,3,FALSE),"UNMAPPED")</f>
        <v/>
      </c>
    </row>
    <row r="551">
      <c r="A551" s="5" t="n">
        <v>45838</v>
      </c>
      <c r="B551" t="inlineStr">
        <is>
          <t>CZ</t>
        </is>
      </c>
      <c r="C551" t="inlineStr">
        <is>
          <t>PL_STD</t>
        </is>
      </c>
      <c r="D551" t="inlineStr">
        <is>
          <t>Current</t>
        </is>
      </c>
      <c r="E551" t="n">
        <v>0</v>
      </c>
      <c r="F551" t="n">
        <v>802</v>
      </c>
      <c r="G551" t="n">
        <v>58582734.38</v>
      </c>
      <c r="H551">
        <f>IFERROR(VLOOKUP(C551,Lookups!$A$3:$C$7,3,FALSE),"UNMAPPED")</f>
        <v/>
      </c>
    </row>
    <row r="552">
      <c r="A552" s="5" t="n">
        <v>45838</v>
      </c>
      <c r="B552" t="inlineStr">
        <is>
          <t>CZ</t>
        </is>
      </c>
      <c r="C552" t="inlineStr">
        <is>
          <t>PL_STD</t>
        </is>
      </c>
      <c r="D552" t="inlineStr">
        <is>
          <t>1-29</t>
        </is>
      </c>
      <c r="E552" t="n">
        <v>1</v>
      </c>
      <c r="F552" t="n">
        <v>18</v>
      </c>
      <c r="G552" t="n">
        <v>1569122.96</v>
      </c>
      <c r="H552">
        <f>IFERROR(VLOOKUP(C552,Lookups!$A$3:$C$7,3,FALSE),"UNMAPPED")</f>
        <v/>
      </c>
    </row>
    <row r="553">
      <c r="A553" s="5" t="n">
        <v>45838</v>
      </c>
      <c r="B553" t="inlineStr">
        <is>
          <t>CZ</t>
        </is>
      </c>
      <c r="C553" t="inlineStr">
        <is>
          <t>PL_STD</t>
        </is>
      </c>
      <c r="D553" t="inlineStr">
        <is>
          <t>30-59</t>
        </is>
      </c>
      <c r="E553" t="n">
        <v>30</v>
      </c>
      <c r="F553" t="n">
        <v>4</v>
      </c>
      <c r="G553" t="n">
        <v>303358.04</v>
      </c>
      <c r="H553">
        <f>IFERROR(VLOOKUP(C553,Lookups!$A$3:$C$7,3,FALSE),"UNMAPPED")</f>
        <v/>
      </c>
    </row>
    <row r="554">
      <c r="A554" s="5" t="n">
        <v>45838</v>
      </c>
      <c r="B554" t="inlineStr">
        <is>
          <t>CZ</t>
        </is>
      </c>
      <c r="C554" t="inlineStr">
        <is>
          <t>PL_STD</t>
        </is>
      </c>
      <c r="D554" t="inlineStr">
        <is>
          <t>60-89</t>
        </is>
      </c>
      <c r="E554" t="n">
        <v>60</v>
      </c>
      <c r="F554" t="n">
        <v>1</v>
      </c>
      <c r="G554" t="n">
        <v>90113.39</v>
      </c>
      <c r="H554">
        <f>IFERROR(VLOOKUP(C554,Lookups!$A$3:$C$7,3,FALSE),"UNMAPPED")</f>
        <v/>
      </c>
    </row>
    <row r="555">
      <c r="A555" s="5" t="n">
        <v>45838</v>
      </c>
      <c r="B555" t="inlineStr">
        <is>
          <t>CZ</t>
        </is>
      </c>
      <c r="C555" t="inlineStr">
        <is>
          <t>PL_STD</t>
        </is>
      </c>
      <c r="D555" t="inlineStr">
        <is>
          <t>90-179</t>
        </is>
      </c>
      <c r="E555" t="n">
        <v>90</v>
      </c>
      <c r="F555" t="n">
        <v>13</v>
      </c>
      <c r="G555" t="n">
        <v>1093429.48</v>
      </c>
      <c r="H555">
        <f>IFERROR(VLOOKUP(C555,Lookups!$A$3:$C$7,3,FALSE),"UNMAPPED")</f>
        <v/>
      </c>
    </row>
    <row r="556">
      <c r="A556" s="5" t="n">
        <v>45838</v>
      </c>
      <c r="B556" t="inlineStr">
        <is>
          <t>PL</t>
        </is>
      </c>
      <c r="C556" t="inlineStr">
        <is>
          <t>CC_CLASSIC</t>
        </is>
      </c>
      <c r="D556" t="inlineStr">
        <is>
          <t>Current</t>
        </is>
      </c>
      <c r="E556" t="n">
        <v>0</v>
      </c>
      <c r="F556" t="n">
        <v>1506</v>
      </c>
      <c r="G556" t="n">
        <v>4263999.47</v>
      </c>
      <c r="H556">
        <f>IFERROR(VLOOKUP(C556,Lookups!$A$3:$C$7,3,FALSE),"UNMAPPED")</f>
        <v/>
      </c>
    </row>
    <row r="557">
      <c r="A557" s="5" t="n">
        <v>45838</v>
      </c>
      <c r="B557" t="inlineStr">
        <is>
          <t>PL</t>
        </is>
      </c>
      <c r="C557" t="inlineStr">
        <is>
          <t>CC_CLASSIC</t>
        </is>
      </c>
      <c r="D557" t="inlineStr">
        <is>
          <t>1-29</t>
        </is>
      </c>
      <c r="E557" t="n">
        <v>1</v>
      </c>
      <c r="F557" t="n">
        <v>23</v>
      </c>
      <c r="G557" t="n">
        <v>82548.64</v>
      </c>
      <c r="H557">
        <f>IFERROR(VLOOKUP(C557,Lookups!$A$3:$C$7,3,FALSE),"UNMAPPED")</f>
        <v/>
      </c>
    </row>
    <row r="558">
      <c r="A558" s="5" t="n">
        <v>45838</v>
      </c>
      <c r="B558" t="inlineStr">
        <is>
          <t>PL</t>
        </is>
      </c>
      <c r="C558" t="inlineStr">
        <is>
          <t>CC_CLASSIC</t>
        </is>
      </c>
      <c r="D558" t="inlineStr">
        <is>
          <t>30-59</t>
        </is>
      </c>
      <c r="E558" t="n">
        <v>30</v>
      </c>
      <c r="F558" t="n">
        <v>13</v>
      </c>
      <c r="G558" t="n">
        <v>34050.41</v>
      </c>
      <c r="H558">
        <f>IFERROR(VLOOKUP(C558,Lookups!$A$3:$C$7,3,FALSE),"UNMAPPED")</f>
        <v/>
      </c>
    </row>
    <row r="559">
      <c r="A559" s="5" t="n">
        <v>45838</v>
      </c>
      <c r="B559" t="inlineStr">
        <is>
          <t>PL</t>
        </is>
      </c>
      <c r="C559" t="inlineStr">
        <is>
          <t>CC_CLASSIC</t>
        </is>
      </c>
      <c r="D559" t="inlineStr">
        <is>
          <t>60-89</t>
        </is>
      </c>
      <c r="E559" t="n">
        <v>60</v>
      </c>
      <c r="F559" t="n">
        <v>9</v>
      </c>
      <c r="G559" t="n">
        <v>28868.71</v>
      </c>
      <c r="H559">
        <f>IFERROR(VLOOKUP(C559,Lookups!$A$3:$C$7,3,FALSE),"UNMAPPED")</f>
        <v/>
      </c>
    </row>
    <row r="560">
      <c r="A560" s="5" t="n">
        <v>45838</v>
      </c>
      <c r="B560" t="inlineStr">
        <is>
          <t>PL</t>
        </is>
      </c>
      <c r="C560" t="inlineStr">
        <is>
          <t>CC_CLASSIC</t>
        </is>
      </c>
      <c r="D560" t="inlineStr">
        <is>
          <t>90-179</t>
        </is>
      </c>
      <c r="E560" t="n">
        <v>90</v>
      </c>
      <c r="F560" t="n">
        <v>26</v>
      </c>
      <c r="G560" t="n">
        <v>80423.87</v>
      </c>
      <c r="H560">
        <f>IFERROR(VLOOKUP(C560,Lookups!$A$3:$C$7,3,FALSE),"UNMAPPED")</f>
        <v/>
      </c>
    </row>
    <row r="561">
      <c r="A561" s="5" t="n">
        <v>45838</v>
      </c>
      <c r="B561" t="inlineStr">
        <is>
          <t>PL</t>
        </is>
      </c>
      <c r="C561" t="inlineStr">
        <is>
          <t>CC_CONSOL</t>
        </is>
      </c>
      <c r="D561" t="inlineStr">
        <is>
          <t>Current</t>
        </is>
      </c>
      <c r="E561" t="n">
        <v>0</v>
      </c>
      <c r="F561" t="n">
        <v>60</v>
      </c>
      <c r="G561" t="n">
        <v>1719273.52</v>
      </c>
      <c r="H561">
        <f>IFERROR(VLOOKUP(C561,Lookups!$A$3:$C$7,3,FALSE),"UNMAPPED")</f>
        <v/>
      </c>
    </row>
    <row r="562">
      <c r="A562" s="5" t="n">
        <v>45838</v>
      </c>
      <c r="B562" t="inlineStr">
        <is>
          <t>PL</t>
        </is>
      </c>
      <c r="C562" t="inlineStr">
        <is>
          <t>CC_CONSOL</t>
        </is>
      </c>
      <c r="D562" t="inlineStr">
        <is>
          <t>1-29</t>
        </is>
      </c>
      <c r="E562" t="n">
        <v>1</v>
      </c>
      <c r="F562" t="n">
        <v>1</v>
      </c>
      <c r="G562" t="n">
        <v>41424.21</v>
      </c>
      <c r="H562">
        <f>IFERROR(VLOOKUP(C562,Lookups!$A$3:$C$7,3,FALSE),"UNMAPPED")</f>
        <v/>
      </c>
    </row>
    <row r="563">
      <c r="A563" s="5" t="n">
        <v>45838</v>
      </c>
      <c r="B563" t="inlineStr">
        <is>
          <t>PL</t>
        </is>
      </c>
      <c r="C563" t="inlineStr">
        <is>
          <t>CC_GOLD</t>
        </is>
      </c>
      <c r="D563" t="inlineStr">
        <is>
          <t>Current</t>
        </is>
      </c>
      <c r="E563" t="n">
        <v>0</v>
      </c>
      <c r="F563" t="n">
        <v>444</v>
      </c>
      <c r="G563" t="n">
        <v>4417767.17</v>
      </c>
      <c r="H563">
        <f>IFERROR(VLOOKUP(C563,Lookups!$A$3:$C$7,3,FALSE),"UNMAPPED")</f>
        <v/>
      </c>
    </row>
    <row r="564">
      <c r="A564" s="5" t="n">
        <v>45838</v>
      </c>
      <c r="B564" t="inlineStr">
        <is>
          <t>PL</t>
        </is>
      </c>
      <c r="C564" t="inlineStr">
        <is>
          <t>CC_GOLD</t>
        </is>
      </c>
      <c r="D564" t="inlineStr">
        <is>
          <t>1-29</t>
        </is>
      </c>
      <c r="E564" t="n">
        <v>1</v>
      </c>
      <c r="F564" t="n">
        <v>6</v>
      </c>
      <c r="G564" t="n">
        <v>57176.86</v>
      </c>
      <c r="H564">
        <f>IFERROR(VLOOKUP(C564,Lookups!$A$3:$C$7,3,FALSE),"UNMAPPED")</f>
        <v/>
      </c>
    </row>
    <row r="565">
      <c r="A565" s="5" t="n">
        <v>45838</v>
      </c>
      <c r="B565" t="inlineStr">
        <is>
          <t>PL</t>
        </is>
      </c>
      <c r="C565" t="inlineStr">
        <is>
          <t>CC_GOLD</t>
        </is>
      </c>
      <c r="D565" t="inlineStr">
        <is>
          <t>60-89</t>
        </is>
      </c>
      <c r="E565" t="n">
        <v>60</v>
      </c>
      <c r="F565" t="n">
        <v>2</v>
      </c>
      <c r="G565" t="n">
        <v>29031.05</v>
      </c>
      <c r="H565">
        <f>IFERROR(VLOOKUP(C565,Lookups!$A$3:$C$7,3,FALSE),"UNMAPPED")</f>
        <v/>
      </c>
    </row>
    <row r="566">
      <c r="A566" s="5" t="n">
        <v>45838</v>
      </c>
      <c r="B566" t="inlineStr">
        <is>
          <t>PL</t>
        </is>
      </c>
      <c r="C566" t="inlineStr">
        <is>
          <t>CC_GOLD</t>
        </is>
      </c>
      <c r="D566" t="inlineStr">
        <is>
          <t>90-179</t>
        </is>
      </c>
      <c r="E566" t="n">
        <v>90</v>
      </c>
      <c r="F566" t="n">
        <v>6</v>
      </c>
      <c r="G566" t="n">
        <v>91233.32000000001</v>
      </c>
      <c r="H566">
        <f>IFERROR(VLOOKUP(C566,Lookups!$A$3:$C$7,3,FALSE),"UNMAPPED")</f>
        <v/>
      </c>
    </row>
    <row r="567">
      <c r="A567" s="5" t="n">
        <v>45838</v>
      </c>
      <c r="B567" t="inlineStr">
        <is>
          <t>PL</t>
        </is>
      </c>
      <c r="C567" t="inlineStr">
        <is>
          <t>PL_PREM</t>
        </is>
      </c>
      <c r="D567" t="inlineStr">
        <is>
          <t>Current</t>
        </is>
      </c>
      <c r="E567" t="n">
        <v>0</v>
      </c>
      <c r="F567" t="n">
        <v>465</v>
      </c>
      <c r="G567" t="n">
        <v>19543372.89</v>
      </c>
      <c r="H567">
        <f>IFERROR(VLOOKUP(C567,Lookups!$A$3:$C$7,3,FALSE),"UNMAPPED")</f>
        <v/>
      </c>
    </row>
    <row r="568">
      <c r="A568" s="5" t="n">
        <v>45838</v>
      </c>
      <c r="B568" t="inlineStr">
        <is>
          <t>PL</t>
        </is>
      </c>
      <c r="C568" t="inlineStr">
        <is>
          <t>PL_PREM</t>
        </is>
      </c>
      <c r="D568" t="inlineStr">
        <is>
          <t>1-29</t>
        </is>
      </c>
      <c r="E568" t="n">
        <v>1</v>
      </c>
      <c r="F568" t="n">
        <v>7</v>
      </c>
      <c r="G568" t="n">
        <v>218629.59</v>
      </c>
      <c r="H568">
        <f>IFERROR(VLOOKUP(C568,Lookups!$A$3:$C$7,3,FALSE),"UNMAPPED")</f>
        <v/>
      </c>
    </row>
    <row r="569">
      <c r="A569" s="5" t="n">
        <v>45838</v>
      </c>
      <c r="B569" t="inlineStr">
        <is>
          <t>PL</t>
        </is>
      </c>
      <c r="C569" t="inlineStr">
        <is>
          <t>PL_PREM</t>
        </is>
      </c>
      <c r="D569" t="inlineStr">
        <is>
          <t>30-59</t>
        </is>
      </c>
      <c r="E569" t="n">
        <v>30</v>
      </c>
      <c r="F569" t="n">
        <v>6</v>
      </c>
      <c r="G569" t="n">
        <v>173137.14</v>
      </c>
      <c r="H569">
        <f>IFERROR(VLOOKUP(C569,Lookups!$A$3:$C$7,3,FALSE),"UNMAPPED")</f>
        <v/>
      </c>
    </row>
    <row r="570">
      <c r="A570" s="5" t="n">
        <v>45838</v>
      </c>
      <c r="B570" t="inlineStr">
        <is>
          <t>PL</t>
        </is>
      </c>
      <c r="C570" t="inlineStr">
        <is>
          <t>PL_PREM</t>
        </is>
      </c>
      <c r="D570" t="inlineStr">
        <is>
          <t>60-89</t>
        </is>
      </c>
      <c r="E570" t="n">
        <v>60</v>
      </c>
      <c r="F570" t="n">
        <v>3</v>
      </c>
      <c r="G570" t="n">
        <v>172467.15</v>
      </c>
      <c r="H570">
        <f>IFERROR(VLOOKUP(C570,Lookups!$A$3:$C$7,3,FALSE),"UNMAPPED")</f>
        <v/>
      </c>
    </row>
    <row r="571">
      <c r="A571" s="5" t="n">
        <v>45838</v>
      </c>
      <c r="B571" t="inlineStr">
        <is>
          <t>PL</t>
        </is>
      </c>
      <c r="C571" t="inlineStr">
        <is>
          <t>PL_PREM</t>
        </is>
      </c>
      <c r="D571" t="inlineStr">
        <is>
          <t>90-179</t>
        </is>
      </c>
      <c r="E571" t="n">
        <v>90</v>
      </c>
      <c r="F571" t="n">
        <v>7</v>
      </c>
      <c r="G571" t="n">
        <v>364581.66</v>
      </c>
      <c r="H571">
        <f>IFERROR(VLOOKUP(C571,Lookups!$A$3:$C$7,3,FALSE),"UNMAPPED")</f>
        <v/>
      </c>
    </row>
    <row r="572">
      <c r="A572" s="5" t="n">
        <v>45838</v>
      </c>
      <c r="B572" t="inlineStr">
        <is>
          <t>PL</t>
        </is>
      </c>
      <c r="C572" t="inlineStr">
        <is>
          <t>PL_STD</t>
        </is>
      </c>
      <c r="D572" t="inlineStr">
        <is>
          <t>Current</t>
        </is>
      </c>
      <c r="E572" t="n">
        <v>0</v>
      </c>
      <c r="F572" t="n">
        <v>1104</v>
      </c>
      <c r="G572" t="n">
        <v>12906965.97</v>
      </c>
      <c r="H572">
        <f>IFERROR(VLOOKUP(C572,Lookups!$A$3:$C$7,3,FALSE),"UNMAPPED")</f>
        <v/>
      </c>
    </row>
    <row r="573">
      <c r="A573" s="5" t="n">
        <v>45838</v>
      </c>
      <c r="B573" t="inlineStr">
        <is>
          <t>PL</t>
        </is>
      </c>
      <c r="C573" t="inlineStr">
        <is>
          <t>PL_STD</t>
        </is>
      </c>
      <c r="D573" t="inlineStr">
        <is>
          <t>1-29</t>
        </is>
      </c>
      <c r="E573" t="n">
        <v>1</v>
      </c>
      <c r="F573" t="n">
        <v>16</v>
      </c>
      <c r="G573" t="n">
        <v>197359.99</v>
      </c>
      <c r="H573">
        <f>IFERROR(VLOOKUP(C573,Lookups!$A$3:$C$7,3,FALSE),"UNMAPPED")</f>
        <v/>
      </c>
    </row>
    <row r="574">
      <c r="A574" s="5" t="n">
        <v>45838</v>
      </c>
      <c r="B574" t="inlineStr">
        <is>
          <t>PL</t>
        </is>
      </c>
      <c r="C574" t="inlineStr">
        <is>
          <t>PL_STD</t>
        </is>
      </c>
      <c r="D574" t="inlineStr">
        <is>
          <t>30-59</t>
        </is>
      </c>
      <c r="E574" t="n">
        <v>30</v>
      </c>
      <c r="F574" t="n">
        <v>10</v>
      </c>
      <c r="G574" t="n">
        <v>123169.4</v>
      </c>
      <c r="H574">
        <f>IFERROR(VLOOKUP(C574,Lookups!$A$3:$C$7,3,FALSE),"UNMAPPED")</f>
        <v/>
      </c>
    </row>
    <row r="575">
      <c r="A575" s="5" t="n">
        <v>45838</v>
      </c>
      <c r="B575" t="inlineStr">
        <is>
          <t>PL</t>
        </is>
      </c>
      <c r="C575" t="inlineStr">
        <is>
          <t>PL_STD</t>
        </is>
      </c>
      <c r="D575" t="inlineStr">
        <is>
          <t>60-89</t>
        </is>
      </c>
      <c r="E575" t="n">
        <v>60</v>
      </c>
      <c r="F575" t="n">
        <v>4</v>
      </c>
      <c r="G575" t="n">
        <v>43661.3</v>
      </c>
      <c r="H575">
        <f>IFERROR(VLOOKUP(C575,Lookups!$A$3:$C$7,3,FALSE),"UNMAPPED")</f>
        <v/>
      </c>
    </row>
    <row r="576">
      <c r="A576" s="5" t="n">
        <v>45838</v>
      </c>
      <c r="B576" t="inlineStr">
        <is>
          <t>PL</t>
        </is>
      </c>
      <c r="C576" t="inlineStr">
        <is>
          <t>PL_STD</t>
        </is>
      </c>
      <c r="D576" t="inlineStr">
        <is>
          <t>90-179</t>
        </is>
      </c>
      <c r="E576" t="n">
        <v>90</v>
      </c>
      <c r="F576" t="n">
        <v>14</v>
      </c>
      <c r="G576" t="n">
        <v>194989.92</v>
      </c>
      <c r="H576">
        <f>IFERROR(VLOOKUP(C576,Lookups!$A$3:$C$7,3,FALSE),"UNMAPPED")</f>
        <v/>
      </c>
    </row>
    <row r="577">
      <c r="A577" s="5" t="n">
        <v>45838</v>
      </c>
      <c r="B577" t="inlineStr">
        <is>
          <t>RO</t>
        </is>
      </c>
      <c r="C577" t="inlineStr">
        <is>
          <t>CC_CLASSIC</t>
        </is>
      </c>
      <c r="D577" t="inlineStr">
        <is>
          <t>Current</t>
        </is>
      </c>
      <c r="E577" t="n">
        <v>0</v>
      </c>
      <c r="F577" t="n">
        <v>823</v>
      </c>
      <c r="G577" t="n">
        <v>2689139.02</v>
      </c>
      <c r="H577">
        <f>IFERROR(VLOOKUP(C577,Lookups!$A$3:$C$7,3,FALSE),"UNMAPPED")</f>
        <v/>
      </c>
    </row>
    <row r="578">
      <c r="A578" s="5" t="n">
        <v>45838</v>
      </c>
      <c r="B578" t="inlineStr">
        <is>
          <t>RO</t>
        </is>
      </c>
      <c r="C578" t="inlineStr">
        <is>
          <t>CC_CLASSIC</t>
        </is>
      </c>
      <c r="D578" t="inlineStr">
        <is>
          <t>1-29</t>
        </is>
      </c>
      <c r="E578" t="n">
        <v>1</v>
      </c>
      <c r="F578" t="n">
        <v>12</v>
      </c>
      <c r="G578" t="n">
        <v>32615.2</v>
      </c>
      <c r="H578">
        <f>IFERROR(VLOOKUP(C578,Lookups!$A$3:$C$7,3,FALSE),"UNMAPPED")</f>
        <v/>
      </c>
    </row>
    <row r="579">
      <c r="A579" s="5" t="n">
        <v>45838</v>
      </c>
      <c r="B579" t="inlineStr">
        <is>
          <t>RO</t>
        </is>
      </c>
      <c r="C579" t="inlineStr">
        <is>
          <t>CC_CLASSIC</t>
        </is>
      </c>
      <c r="D579" t="inlineStr">
        <is>
          <t>30-59</t>
        </is>
      </c>
      <c r="E579" t="n">
        <v>30</v>
      </c>
      <c r="F579" t="n">
        <v>7</v>
      </c>
      <c r="G579" t="n">
        <v>19899.17</v>
      </c>
      <c r="H579">
        <f>IFERROR(VLOOKUP(C579,Lookups!$A$3:$C$7,3,FALSE),"UNMAPPED")</f>
        <v/>
      </c>
    </row>
    <row r="580">
      <c r="A580" s="5" t="n">
        <v>45838</v>
      </c>
      <c r="B580" t="inlineStr">
        <is>
          <t>RO</t>
        </is>
      </c>
      <c r="C580" t="inlineStr">
        <is>
          <t>CC_CLASSIC</t>
        </is>
      </c>
      <c r="D580" t="inlineStr">
        <is>
          <t>60-89</t>
        </is>
      </c>
      <c r="E580" t="n">
        <v>60</v>
      </c>
      <c r="F580" t="n">
        <v>5</v>
      </c>
      <c r="G580" t="n">
        <v>6848.13</v>
      </c>
      <c r="H580">
        <f>IFERROR(VLOOKUP(C580,Lookups!$A$3:$C$7,3,FALSE),"UNMAPPED")</f>
        <v/>
      </c>
    </row>
    <row r="581">
      <c r="A581" s="5" t="n">
        <v>45838</v>
      </c>
      <c r="B581" t="inlineStr">
        <is>
          <t>RO</t>
        </is>
      </c>
      <c r="C581" t="inlineStr">
        <is>
          <t>CC_CLASSIC</t>
        </is>
      </c>
      <c r="D581" t="inlineStr">
        <is>
          <t>90-179</t>
        </is>
      </c>
      <c r="E581" t="n">
        <v>90</v>
      </c>
      <c r="F581" t="n">
        <v>17</v>
      </c>
      <c r="G581" t="n">
        <v>97046.49000000001</v>
      </c>
      <c r="H581">
        <f>IFERROR(VLOOKUP(C581,Lookups!$A$3:$C$7,3,FALSE),"UNMAPPED")</f>
        <v/>
      </c>
    </row>
    <row r="582">
      <c r="A582" s="5" t="n">
        <v>45838</v>
      </c>
      <c r="B582" t="inlineStr">
        <is>
          <t>RO</t>
        </is>
      </c>
      <c r="C582" t="inlineStr">
        <is>
          <t>CC_CONSOL</t>
        </is>
      </c>
      <c r="D582" t="inlineStr">
        <is>
          <t>Current</t>
        </is>
      </c>
      <c r="E582" t="n">
        <v>0</v>
      </c>
      <c r="F582" t="n">
        <v>39</v>
      </c>
      <c r="G582" t="n">
        <v>1453048.76</v>
      </c>
      <c r="H582">
        <f>IFERROR(VLOOKUP(C582,Lookups!$A$3:$C$7,3,FALSE),"UNMAPPED")</f>
        <v/>
      </c>
    </row>
    <row r="583">
      <c r="A583" s="5" t="n">
        <v>45838</v>
      </c>
      <c r="B583" t="inlineStr">
        <is>
          <t>RO</t>
        </is>
      </c>
      <c r="C583" t="inlineStr">
        <is>
          <t>CC_CONSOL</t>
        </is>
      </c>
      <c r="D583" t="inlineStr">
        <is>
          <t>1-29</t>
        </is>
      </c>
      <c r="E583" t="n">
        <v>1</v>
      </c>
      <c r="F583" t="n">
        <v>1</v>
      </c>
      <c r="G583" t="n">
        <v>60567.18</v>
      </c>
      <c r="H583">
        <f>IFERROR(VLOOKUP(C583,Lookups!$A$3:$C$7,3,FALSE),"UNMAPPED")</f>
        <v/>
      </c>
    </row>
    <row r="584">
      <c r="A584" s="5" t="n">
        <v>45838</v>
      </c>
      <c r="B584" t="inlineStr">
        <is>
          <t>RO</t>
        </is>
      </c>
      <c r="C584" t="inlineStr">
        <is>
          <t>CC_GOLD</t>
        </is>
      </c>
      <c r="D584" t="inlineStr">
        <is>
          <t>Current</t>
        </is>
      </c>
      <c r="E584" t="n">
        <v>0</v>
      </c>
      <c r="F584" t="n">
        <v>219</v>
      </c>
      <c r="G584" t="n">
        <v>2475792.07</v>
      </c>
      <c r="H584">
        <f>IFERROR(VLOOKUP(C584,Lookups!$A$3:$C$7,3,FALSE),"UNMAPPED")</f>
        <v/>
      </c>
    </row>
    <row r="585">
      <c r="A585" s="5" t="n">
        <v>45838</v>
      </c>
      <c r="B585" t="inlineStr">
        <is>
          <t>RO</t>
        </is>
      </c>
      <c r="C585" t="inlineStr">
        <is>
          <t>CC_GOLD</t>
        </is>
      </c>
      <c r="D585" t="inlineStr">
        <is>
          <t>1-29</t>
        </is>
      </c>
      <c r="E585" t="n">
        <v>1</v>
      </c>
      <c r="F585" t="n">
        <v>5</v>
      </c>
      <c r="G585" t="n">
        <v>70450.7</v>
      </c>
      <c r="H585">
        <f>IFERROR(VLOOKUP(C585,Lookups!$A$3:$C$7,3,FALSE),"UNMAPPED")</f>
        <v/>
      </c>
    </row>
    <row r="586">
      <c r="A586" s="5" t="n">
        <v>45838</v>
      </c>
      <c r="B586" t="inlineStr">
        <is>
          <t>RO</t>
        </is>
      </c>
      <c r="C586" t="inlineStr">
        <is>
          <t>CC_GOLD</t>
        </is>
      </c>
      <c r="D586" t="inlineStr">
        <is>
          <t>30-59</t>
        </is>
      </c>
      <c r="E586" t="n">
        <v>30</v>
      </c>
      <c r="F586" t="n">
        <v>3</v>
      </c>
      <c r="G586" t="n">
        <v>39999.72</v>
      </c>
      <c r="H586">
        <f>IFERROR(VLOOKUP(C586,Lookups!$A$3:$C$7,3,FALSE),"UNMAPPED")</f>
        <v/>
      </c>
    </row>
    <row r="587">
      <c r="A587" s="5" t="n">
        <v>45838</v>
      </c>
      <c r="B587" t="inlineStr">
        <is>
          <t>RO</t>
        </is>
      </c>
      <c r="C587" t="inlineStr">
        <is>
          <t>CC_GOLD</t>
        </is>
      </c>
      <c r="D587" t="inlineStr">
        <is>
          <t>60-89</t>
        </is>
      </c>
      <c r="E587" t="n">
        <v>60</v>
      </c>
      <c r="F587" t="n">
        <v>1</v>
      </c>
      <c r="G587" t="n">
        <v>10477.73</v>
      </c>
      <c r="H587">
        <f>IFERROR(VLOOKUP(C587,Lookups!$A$3:$C$7,3,FALSE),"UNMAPPED")</f>
        <v/>
      </c>
    </row>
    <row r="588">
      <c r="A588" s="5" t="n">
        <v>45838</v>
      </c>
      <c r="B588" t="inlineStr">
        <is>
          <t>RO</t>
        </is>
      </c>
      <c r="C588" t="inlineStr">
        <is>
          <t>CC_GOLD</t>
        </is>
      </c>
      <c r="D588" t="inlineStr">
        <is>
          <t>90-179</t>
        </is>
      </c>
      <c r="E588" t="n">
        <v>90</v>
      </c>
      <c r="F588" t="n">
        <v>8</v>
      </c>
      <c r="G588" t="n">
        <v>80374.41</v>
      </c>
      <c r="H588">
        <f>IFERROR(VLOOKUP(C588,Lookups!$A$3:$C$7,3,FALSE),"UNMAPPED")</f>
        <v/>
      </c>
    </row>
    <row r="589">
      <c r="A589" s="5" t="n">
        <v>45838</v>
      </c>
      <c r="B589" t="inlineStr">
        <is>
          <t>RO</t>
        </is>
      </c>
      <c r="C589" t="inlineStr">
        <is>
          <t>PL_PREM</t>
        </is>
      </c>
      <c r="D589" t="inlineStr">
        <is>
          <t>Current</t>
        </is>
      </c>
      <c r="E589" t="n">
        <v>0</v>
      </c>
      <c r="F589" t="n">
        <v>279</v>
      </c>
      <c r="G589" t="n">
        <v>13173888.1</v>
      </c>
      <c r="H589">
        <f>IFERROR(VLOOKUP(C589,Lookups!$A$3:$C$7,3,FALSE),"UNMAPPED")</f>
        <v/>
      </c>
    </row>
    <row r="590">
      <c r="A590" s="5" t="n">
        <v>45838</v>
      </c>
      <c r="B590" t="inlineStr">
        <is>
          <t>RO</t>
        </is>
      </c>
      <c r="C590" t="inlineStr">
        <is>
          <t>PL_PREM</t>
        </is>
      </c>
      <c r="D590" t="inlineStr">
        <is>
          <t>1-29</t>
        </is>
      </c>
      <c r="E590" t="n">
        <v>1</v>
      </c>
      <c r="F590" t="n">
        <v>6</v>
      </c>
      <c r="G590" t="n">
        <v>365273.69</v>
      </c>
      <c r="H590">
        <f>IFERROR(VLOOKUP(C590,Lookups!$A$3:$C$7,3,FALSE),"UNMAPPED")</f>
        <v/>
      </c>
    </row>
    <row r="591">
      <c r="A591" s="5" t="n">
        <v>45838</v>
      </c>
      <c r="B591" t="inlineStr">
        <is>
          <t>RO</t>
        </is>
      </c>
      <c r="C591" t="inlineStr">
        <is>
          <t>PL_PREM</t>
        </is>
      </c>
      <c r="D591" t="inlineStr">
        <is>
          <t>30-59</t>
        </is>
      </c>
      <c r="E591" t="n">
        <v>30</v>
      </c>
      <c r="F591" t="n">
        <v>4</v>
      </c>
      <c r="G591" t="n">
        <v>193207.13</v>
      </c>
      <c r="H591">
        <f>IFERROR(VLOOKUP(C591,Lookups!$A$3:$C$7,3,FALSE),"UNMAPPED")</f>
        <v/>
      </c>
    </row>
    <row r="592">
      <c r="A592" s="5" t="n">
        <v>45838</v>
      </c>
      <c r="B592" t="inlineStr">
        <is>
          <t>RO</t>
        </is>
      </c>
      <c r="C592" t="inlineStr">
        <is>
          <t>PL_PREM</t>
        </is>
      </c>
      <c r="D592" t="inlineStr">
        <is>
          <t>60-89</t>
        </is>
      </c>
      <c r="E592" t="n">
        <v>60</v>
      </c>
      <c r="F592" t="n">
        <v>3</v>
      </c>
      <c r="G592" t="n">
        <v>139132.96</v>
      </c>
      <c r="H592">
        <f>IFERROR(VLOOKUP(C592,Lookups!$A$3:$C$7,3,FALSE),"UNMAPPED")</f>
        <v/>
      </c>
    </row>
    <row r="593">
      <c r="A593" s="5" t="n">
        <v>45838</v>
      </c>
      <c r="B593" t="inlineStr">
        <is>
          <t>RO</t>
        </is>
      </c>
      <c r="C593" t="inlineStr">
        <is>
          <t>PL_PREM</t>
        </is>
      </c>
      <c r="D593" t="inlineStr">
        <is>
          <t>90-179</t>
        </is>
      </c>
      <c r="E593" t="n">
        <v>90</v>
      </c>
      <c r="F593" t="n">
        <v>4</v>
      </c>
      <c r="G593" t="n">
        <v>138531.62</v>
      </c>
      <c r="H593">
        <f>IFERROR(VLOOKUP(C593,Lookups!$A$3:$C$7,3,FALSE),"UNMAPPED")</f>
        <v/>
      </c>
    </row>
    <row r="594">
      <c r="A594" s="5" t="n">
        <v>45838</v>
      </c>
      <c r="B594" t="inlineStr">
        <is>
          <t>RO</t>
        </is>
      </c>
      <c r="C594" t="inlineStr">
        <is>
          <t>PL_STD</t>
        </is>
      </c>
      <c r="D594" t="inlineStr">
        <is>
          <t>Current</t>
        </is>
      </c>
      <c r="E594" t="n">
        <v>0</v>
      </c>
      <c r="F594" t="n">
        <v>712</v>
      </c>
      <c r="G594" t="n">
        <v>10954134.59</v>
      </c>
      <c r="H594">
        <f>IFERROR(VLOOKUP(C594,Lookups!$A$3:$C$7,3,FALSE),"UNMAPPED")</f>
        <v/>
      </c>
    </row>
    <row r="595">
      <c r="A595" s="5" t="n">
        <v>45838</v>
      </c>
      <c r="B595" t="inlineStr">
        <is>
          <t>RO</t>
        </is>
      </c>
      <c r="C595" t="inlineStr">
        <is>
          <t>PL_STD</t>
        </is>
      </c>
      <c r="D595" t="inlineStr">
        <is>
          <t>1-29</t>
        </is>
      </c>
      <c r="E595" t="n">
        <v>1</v>
      </c>
      <c r="F595" t="n">
        <v>21</v>
      </c>
      <c r="G595" t="n">
        <v>279149.81</v>
      </c>
      <c r="H595">
        <f>IFERROR(VLOOKUP(C595,Lookups!$A$3:$C$7,3,FALSE),"UNMAPPED")</f>
        <v/>
      </c>
    </row>
    <row r="596">
      <c r="A596" s="5" t="n">
        <v>45838</v>
      </c>
      <c r="B596" t="inlineStr">
        <is>
          <t>RO</t>
        </is>
      </c>
      <c r="C596" t="inlineStr">
        <is>
          <t>PL_STD</t>
        </is>
      </c>
      <c r="D596" t="inlineStr">
        <is>
          <t>30-59</t>
        </is>
      </c>
      <c r="E596" t="n">
        <v>30</v>
      </c>
      <c r="F596" t="n">
        <v>5</v>
      </c>
      <c r="G596" t="n">
        <v>102477.64</v>
      </c>
      <c r="H596">
        <f>IFERROR(VLOOKUP(C596,Lookups!$A$3:$C$7,3,FALSE),"UNMAPPED")</f>
        <v/>
      </c>
    </row>
    <row r="597">
      <c r="A597" s="5" t="n">
        <v>45838</v>
      </c>
      <c r="B597" t="inlineStr">
        <is>
          <t>RO</t>
        </is>
      </c>
      <c r="C597" t="inlineStr">
        <is>
          <t>PL_STD</t>
        </is>
      </c>
      <c r="D597" t="inlineStr">
        <is>
          <t>60-89</t>
        </is>
      </c>
      <c r="E597" t="n">
        <v>60</v>
      </c>
      <c r="F597" t="n">
        <v>6</v>
      </c>
      <c r="G597" t="n">
        <v>90711.36</v>
      </c>
      <c r="H597">
        <f>IFERROR(VLOOKUP(C597,Lookups!$A$3:$C$7,3,FALSE),"UNMAPPED")</f>
        <v/>
      </c>
    </row>
    <row r="598">
      <c r="A598" s="5" t="n">
        <v>45838</v>
      </c>
      <c r="B598" t="inlineStr">
        <is>
          <t>RO</t>
        </is>
      </c>
      <c r="C598" t="inlineStr">
        <is>
          <t>PL_STD</t>
        </is>
      </c>
      <c r="D598" t="inlineStr">
        <is>
          <t>90-179</t>
        </is>
      </c>
      <c r="E598" t="n">
        <v>90</v>
      </c>
      <c r="F598" t="n">
        <v>14</v>
      </c>
      <c r="G598" t="n">
        <v>130077.65</v>
      </c>
      <c r="H598">
        <f>IFERROR(VLOOKUP(C598,Lookups!$A$3:$C$7,3,FALSE),"UNMAPPED")</f>
        <v/>
      </c>
    </row>
    <row r="599">
      <c r="A599" s="5" t="n">
        <v>45869</v>
      </c>
      <c r="B599" t="inlineStr">
        <is>
          <t>CZ</t>
        </is>
      </c>
      <c r="C599" t="inlineStr">
        <is>
          <t>CC_CLASSIC</t>
        </is>
      </c>
      <c r="D599" t="inlineStr">
        <is>
          <t>Current</t>
        </is>
      </c>
      <c r="E599" t="n">
        <v>0</v>
      </c>
      <c r="F599" t="n">
        <v>1157</v>
      </c>
      <c r="G599" t="n">
        <v>18947204.69</v>
      </c>
      <c r="H599">
        <f>IFERROR(VLOOKUP(C599,Lookups!$A$3:$C$7,3,FALSE),"UNMAPPED")</f>
        <v/>
      </c>
    </row>
    <row r="600">
      <c r="A600" s="5" t="n">
        <v>45869</v>
      </c>
      <c r="B600" t="inlineStr">
        <is>
          <t>CZ</t>
        </is>
      </c>
      <c r="C600" t="inlineStr">
        <is>
          <t>CC_CLASSIC</t>
        </is>
      </c>
      <c r="D600" t="inlineStr">
        <is>
          <t>1-29</t>
        </is>
      </c>
      <c r="E600" t="n">
        <v>1</v>
      </c>
      <c r="F600" t="n">
        <v>15</v>
      </c>
      <c r="G600" t="n">
        <v>243487.3</v>
      </c>
      <c r="H600">
        <f>IFERROR(VLOOKUP(C600,Lookups!$A$3:$C$7,3,FALSE),"UNMAPPED")</f>
        <v/>
      </c>
    </row>
    <row r="601">
      <c r="A601" s="5" t="n">
        <v>45869</v>
      </c>
      <c r="B601" t="inlineStr">
        <is>
          <t>CZ</t>
        </is>
      </c>
      <c r="C601" t="inlineStr">
        <is>
          <t>CC_CLASSIC</t>
        </is>
      </c>
      <c r="D601" t="inlineStr">
        <is>
          <t>30-59</t>
        </is>
      </c>
      <c r="E601" t="n">
        <v>30</v>
      </c>
      <c r="F601" t="n">
        <v>11</v>
      </c>
      <c r="G601" t="n">
        <v>251740.84</v>
      </c>
      <c r="H601">
        <f>IFERROR(VLOOKUP(C601,Lookups!$A$3:$C$7,3,FALSE),"UNMAPPED")</f>
        <v/>
      </c>
    </row>
    <row r="602">
      <c r="A602" s="5" t="n">
        <v>45869</v>
      </c>
      <c r="B602" t="inlineStr">
        <is>
          <t>CZ</t>
        </is>
      </c>
      <c r="C602" t="inlineStr">
        <is>
          <t>CC_CLASSIC</t>
        </is>
      </c>
      <c r="D602" t="inlineStr">
        <is>
          <t>60-89</t>
        </is>
      </c>
      <c r="E602" t="n">
        <v>60</v>
      </c>
      <c r="F602" t="n">
        <v>7</v>
      </c>
      <c r="G602" t="n">
        <v>155387.38</v>
      </c>
      <c r="H602">
        <f>IFERROR(VLOOKUP(C602,Lookups!$A$3:$C$7,3,FALSE),"UNMAPPED")</f>
        <v/>
      </c>
    </row>
    <row r="603">
      <c r="A603" s="5" t="n">
        <v>45869</v>
      </c>
      <c r="B603" t="inlineStr">
        <is>
          <t>CZ</t>
        </is>
      </c>
      <c r="C603" t="inlineStr">
        <is>
          <t>CC_CLASSIC</t>
        </is>
      </c>
      <c r="D603" t="inlineStr">
        <is>
          <t>90-179</t>
        </is>
      </c>
      <c r="E603" t="n">
        <v>90</v>
      </c>
      <c r="F603" t="n">
        <v>17</v>
      </c>
      <c r="G603" t="n">
        <v>228143.59</v>
      </c>
      <c r="H603">
        <f>IFERROR(VLOOKUP(C603,Lookups!$A$3:$C$7,3,FALSE),"UNMAPPED")</f>
        <v/>
      </c>
    </row>
    <row r="604">
      <c r="A604" s="5" t="n">
        <v>45869</v>
      </c>
      <c r="B604" t="inlineStr">
        <is>
          <t>CZ</t>
        </is>
      </c>
      <c r="C604" t="inlineStr">
        <is>
          <t>CC_CONSOL</t>
        </is>
      </c>
      <c r="D604" t="inlineStr">
        <is>
          <t>Current</t>
        </is>
      </c>
      <c r="E604" t="n">
        <v>0</v>
      </c>
      <c r="F604" t="n">
        <v>61</v>
      </c>
      <c r="G604" t="n">
        <v>9977253.34</v>
      </c>
      <c r="H604">
        <f>IFERROR(VLOOKUP(C604,Lookups!$A$3:$C$7,3,FALSE),"UNMAPPED")</f>
        <v/>
      </c>
    </row>
    <row r="605">
      <c r="A605" s="5" t="n">
        <v>45869</v>
      </c>
      <c r="B605" t="inlineStr">
        <is>
          <t>CZ</t>
        </is>
      </c>
      <c r="C605" t="inlineStr">
        <is>
          <t>CC_GOLD</t>
        </is>
      </c>
      <c r="D605" t="inlineStr">
        <is>
          <t>Current</t>
        </is>
      </c>
      <c r="E605" t="n">
        <v>0</v>
      </c>
      <c r="F605" t="n">
        <v>312</v>
      </c>
      <c r="G605" t="n">
        <v>18214090.87</v>
      </c>
      <c r="H605">
        <f>IFERROR(VLOOKUP(C605,Lookups!$A$3:$C$7,3,FALSE),"UNMAPPED")</f>
        <v/>
      </c>
    </row>
    <row r="606">
      <c r="A606" s="5" t="n">
        <v>45869</v>
      </c>
      <c r="B606" t="inlineStr">
        <is>
          <t>CZ</t>
        </is>
      </c>
      <c r="C606" t="inlineStr">
        <is>
          <t>CC_GOLD</t>
        </is>
      </c>
      <c r="D606" t="inlineStr">
        <is>
          <t>1-29</t>
        </is>
      </c>
      <c r="E606" t="n">
        <v>1</v>
      </c>
      <c r="F606" t="n">
        <v>5</v>
      </c>
      <c r="G606" t="n">
        <v>251768.01</v>
      </c>
      <c r="H606">
        <f>IFERROR(VLOOKUP(C606,Lookups!$A$3:$C$7,3,FALSE),"UNMAPPED")</f>
        <v/>
      </c>
    </row>
    <row r="607">
      <c r="A607" s="5" t="n">
        <v>45869</v>
      </c>
      <c r="B607" t="inlineStr">
        <is>
          <t>CZ</t>
        </is>
      </c>
      <c r="C607" t="inlineStr">
        <is>
          <t>CC_GOLD</t>
        </is>
      </c>
      <c r="D607" t="inlineStr">
        <is>
          <t>30-59</t>
        </is>
      </c>
      <c r="E607" t="n">
        <v>30</v>
      </c>
      <c r="F607" t="n">
        <v>4</v>
      </c>
      <c r="G607" t="n">
        <v>366707.14</v>
      </c>
      <c r="H607">
        <f>IFERROR(VLOOKUP(C607,Lookups!$A$3:$C$7,3,FALSE),"UNMAPPED")</f>
        <v/>
      </c>
    </row>
    <row r="608">
      <c r="A608" s="5" t="n">
        <v>45869</v>
      </c>
      <c r="B608" t="inlineStr">
        <is>
          <t>CZ</t>
        </is>
      </c>
      <c r="C608" t="inlineStr">
        <is>
          <t>CC_GOLD</t>
        </is>
      </c>
      <c r="D608" t="inlineStr">
        <is>
          <t>60-89</t>
        </is>
      </c>
      <c r="E608" t="n">
        <v>60</v>
      </c>
      <c r="F608" t="n">
        <v>3</v>
      </c>
      <c r="G608" t="n">
        <v>90942.77</v>
      </c>
      <c r="H608">
        <f>IFERROR(VLOOKUP(C608,Lookups!$A$3:$C$7,3,FALSE),"UNMAPPED")</f>
        <v/>
      </c>
    </row>
    <row r="609">
      <c r="A609" s="5" t="n">
        <v>45869</v>
      </c>
      <c r="B609" t="inlineStr">
        <is>
          <t>CZ</t>
        </is>
      </c>
      <c r="C609" t="inlineStr">
        <is>
          <t>CC_GOLD</t>
        </is>
      </c>
      <c r="D609" t="inlineStr">
        <is>
          <t>90-179</t>
        </is>
      </c>
      <c r="E609" t="n">
        <v>90</v>
      </c>
      <c r="F609" t="n">
        <v>5</v>
      </c>
      <c r="G609" t="n">
        <v>297399.28</v>
      </c>
      <c r="H609">
        <f>IFERROR(VLOOKUP(C609,Lookups!$A$3:$C$7,3,FALSE),"UNMAPPED")</f>
        <v/>
      </c>
    </row>
    <row r="610">
      <c r="A610" s="5" t="n">
        <v>45869</v>
      </c>
      <c r="B610" t="inlineStr">
        <is>
          <t>CZ</t>
        </is>
      </c>
      <c r="C610" t="inlineStr">
        <is>
          <t>PL_PREM</t>
        </is>
      </c>
      <c r="D610" t="inlineStr">
        <is>
          <t>Current</t>
        </is>
      </c>
      <c r="E610" t="n">
        <v>0</v>
      </c>
      <c r="F610" t="n">
        <v>310</v>
      </c>
      <c r="G610" t="n">
        <v>72742682.98</v>
      </c>
      <c r="H610">
        <f>IFERROR(VLOOKUP(C610,Lookups!$A$3:$C$7,3,FALSE),"UNMAPPED")</f>
        <v/>
      </c>
    </row>
    <row r="611">
      <c r="A611" s="5" t="n">
        <v>45869</v>
      </c>
      <c r="B611" t="inlineStr">
        <is>
          <t>CZ</t>
        </is>
      </c>
      <c r="C611" t="inlineStr">
        <is>
          <t>PL_PREM</t>
        </is>
      </c>
      <c r="D611" t="inlineStr">
        <is>
          <t>1-29</t>
        </is>
      </c>
      <c r="E611" t="n">
        <v>1</v>
      </c>
      <c r="F611" t="n">
        <v>3</v>
      </c>
      <c r="G611" t="n">
        <v>609429.16</v>
      </c>
      <c r="H611">
        <f>IFERROR(VLOOKUP(C611,Lookups!$A$3:$C$7,3,FALSE),"UNMAPPED")</f>
        <v/>
      </c>
    </row>
    <row r="612">
      <c r="A612" s="5" t="n">
        <v>45869</v>
      </c>
      <c r="B612" t="inlineStr">
        <is>
          <t>CZ</t>
        </is>
      </c>
      <c r="C612" t="inlineStr">
        <is>
          <t>PL_PREM</t>
        </is>
      </c>
      <c r="D612" t="inlineStr">
        <is>
          <t>30-59</t>
        </is>
      </c>
      <c r="E612" t="n">
        <v>30</v>
      </c>
      <c r="F612" t="n">
        <v>8</v>
      </c>
      <c r="G612" t="n">
        <v>1915707.11</v>
      </c>
      <c r="H612">
        <f>IFERROR(VLOOKUP(C612,Lookups!$A$3:$C$7,3,FALSE),"UNMAPPED")</f>
        <v/>
      </c>
    </row>
    <row r="613">
      <c r="A613" s="5" t="n">
        <v>45869</v>
      </c>
      <c r="B613" t="inlineStr">
        <is>
          <t>CZ</t>
        </is>
      </c>
      <c r="C613" t="inlineStr">
        <is>
          <t>PL_PREM</t>
        </is>
      </c>
      <c r="D613" t="inlineStr">
        <is>
          <t>60-89</t>
        </is>
      </c>
      <c r="E613" t="n">
        <v>60</v>
      </c>
      <c r="F613" t="n">
        <v>4</v>
      </c>
      <c r="G613" t="n">
        <v>1238924.55</v>
      </c>
      <c r="H613">
        <f>IFERROR(VLOOKUP(C613,Lookups!$A$3:$C$7,3,FALSE),"UNMAPPED")</f>
        <v/>
      </c>
    </row>
    <row r="614">
      <c r="A614" s="5" t="n">
        <v>45869</v>
      </c>
      <c r="B614" t="inlineStr">
        <is>
          <t>CZ</t>
        </is>
      </c>
      <c r="C614" t="inlineStr">
        <is>
          <t>PL_PREM</t>
        </is>
      </c>
      <c r="D614" t="inlineStr">
        <is>
          <t>90-179</t>
        </is>
      </c>
      <c r="E614" t="n">
        <v>90</v>
      </c>
      <c r="F614" t="n">
        <v>2</v>
      </c>
      <c r="G614" t="n">
        <v>527317.66</v>
      </c>
      <c r="H614">
        <f>IFERROR(VLOOKUP(C614,Lookups!$A$3:$C$7,3,FALSE),"UNMAPPED")</f>
        <v/>
      </c>
    </row>
    <row r="615">
      <c r="A615" s="5" t="n">
        <v>45869</v>
      </c>
      <c r="B615" t="inlineStr">
        <is>
          <t>CZ</t>
        </is>
      </c>
      <c r="C615" t="inlineStr">
        <is>
          <t>PL_STD</t>
        </is>
      </c>
      <c r="D615" t="inlineStr">
        <is>
          <t>Current</t>
        </is>
      </c>
      <c r="E615" t="n">
        <v>0</v>
      </c>
      <c r="F615" t="n">
        <v>829</v>
      </c>
      <c r="G615" t="n">
        <v>59533246.27</v>
      </c>
      <c r="H615">
        <f>IFERROR(VLOOKUP(C615,Lookups!$A$3:$C$7,3,FALSE),"UNMAPPED")</f>
        <v/>
      </c>
    </row>
    <row r="616">
      <c r="A616" s="5" t="n">
        <v>45869</v>
      </c>
      <c r="B616" t="inlineStr">
        <is>
          <t>CZ</t>
        </is>
      </c>
      <c r="C616" t="inlineStr">
        <is>
          <t>PL_STD</t>
        </is>
      </c>
      <c r="D616" t="inlineStr">
        <is>
          <t>1-29</t>
        </is>
      </c>
      <c r="E616" t="n">
        <v>1</v>
      </c>
      <c r="F616" t="n">
        <v>11</v>
      </c>
      <c r="G616" t="n">
        <v>952600.71</v>
      </c>
      <c r="H616">
        <f>IFERROR(VLOOKUP(C616,Lookups!$A$3:$C$7,3,FALSE),"UNMAPPED")</f>
        <v/>
      </c>
    </row>
    <row r="617">
      <c r="A617" s="5" t="n">
        <v>45869</v>
      </c>
      <c r="B617" t="inlineStr">
        <is>
          <t>CZ</t>
        </is>
      </c>
      <c r="C617" t="inlineStr">
        <is>
          <t>PL_STD</t>
        </is>
      </c>
      <c r="D617" t="inlineStr">
        <is>
          <t>30-59</t>
        </is>
      </c>
      <c r="E617" t="n">
        <v>30</v>
      </c>
      <c r="F617" t="n">
        <v>7</v>
      </c>
      <c r="G617" t="n">
        <v>574613.13</v>
      </c>
      <c r="H617">
        <f>IFERROR(VLOOKUP(C617,Lookups!$A$3:$C$7,3,FALSE),"UNMAPPED")</f>
        <v/>
      </c>
    </row>
    <row r="618">
      <c r="A618" s="5" t="n">
        <v>45869</v>
      </c>
      <c r="B618" t="inlineStr">
        <is>
          <t>CZ</t>
        </is>
      </c>
      <c r="C618" t="inlineStr">
        <is>
          <t>PL_STD</t>
        </is>
      </c>
      <c r="D618" t="inlineStr">
        <is>
          <t>60-89</t>
        </is>
      </c>
      <c r="E618" t="n">
        <v>60</v>
      </c>
      <c r="F618" t="n">
        <v>2</v>
      </c>
      <c r="G618" t="n">
        <v>95621.97</v>
      </c>
      <c r="H618">
        <f>IFERROR(VLOOKUP(C618,Lookups!$A$3:$C$7,3,FALSE),"UNMAPPED")</f>
        <v/>
      </c>
    </row>
    <row r="619">
      <c r="A619" s="5" t="n">
        <v>45869</v>
      </c>
      <c r="B619" t="inlineStr">
        <is>
          <t>CZ</t>
        </is>
      </c>
      <c r="C619" t="inlineStr">
        <is>
          <t>PL_STD</t>
        </is>
      </c>
      <c r="D619" t="inlineStr">
        <is>
          <t>90-179</t>
        </is>
      </c>
      <c r="E619" t="n">
        <v>90</v>
      </c>
      <c r="F619" t="n">
        <v>7</v>
      </c>
      <c r="G619" t="n">
        <v>577753.96</v>
      </c>
      <c r="H619">
        <f>IFERROR(VLOOKUP(C619,Lookups!$A$3:$C$7,3,FALSE),"UNMAPPED")</f>
        <v/>
      </c>
    </row>
    <row r="620">
      <c r="A620" s="5" t="n">
        <v>45869</v>
      </c>
      <c r="B620" t="inlineStr">
        <is>
          <t>PL</t>
        </is>
      </c>
      <c r="C620" t="inlineStr">
        <is>
          <t>CC_CLASSIC</t>
        </is>
      </c>
      <c r="D620" t="inlineStr">
        <is>
          <t>Current</t>
        </is>
      </c>
      <c r="E620" t="n">
        <v>0</v>
      </c>
      <c r="F620" t="n">
        <v>1555</v>
      </c>
      <c r="G620" t="n">
        <v>4392670.4</v>
      </c>
      <c r="H620">
        <f>IFERROR(VLOOKUP(C620,Lookups!$A$3:$C$7,3,FALSE),"UNMAPPED")</f>
        <v/>
      </c>
    </row>
    <row r="621">
      <c r="A621" s="5" t="n">
        <v>45869</v>
      </c>
      <c r="B621" t="inlineStr">
        <is>
          <t>PL</t>
        </is>
      </c>
      <c r="C621" t="inlineStr">
        <is>
          <t>CC_CLASSIC</t>
        </is>
      </c>
      <c r="D621" t="inlineStr">
        <is>
          <t>1-29</t>
        </is>
      </c>
      <c r="E621" t="n">
        <v>1</v>
      </c>
      <c r="F621" t="n">
        <v>24</v>
      </c>
      <c r="G621" t="n">
        <v>72102.71000000001</v>
      </c>
      <c r="H621">
        <f>IFERROR(VLOOKUP(C621,Lookups!$A$3:$C$7,3,FALSE),"UNMAPPED")</f>
        <v/>
      </c>
    </row>
    <row r="622">
      <c r="A622" s="5" t="n">
        <v>45869</v>
      </c>
      <c r="B622" t="inlineStr">
        <is>
          <t>PL</t>
        </is>
      </c>
      <c r="C622" t="inlineStr">
        <is>
          <t>CC_CLASSIC</t>
        </is>
      </c>
      <c r="D622" t="inlineStr">
        <is>
          <t>30-59</t>
        </is>
      </c>
      <c r="E622" t="n">
        <v>30</v>
      </c>
      <c r="F622" t="n">
        <v>12</v>
      </c>
      <c r="G622" t="n">
        <v>55437.16</v>
      </c>
      <c r="H622">
        <f>IFERROR(VLOOKUP(C622,Lookups!$A$3:$C$7,3,FALSE),"UNMAPPED")</f>
        <v/>
      </c>
    </row>
    <row r="623">
      <c r="A623" s="5" t="n">
        <v>45869</v>
      </c>
      <c r="B623" t="inlineStr">
        <is>
          <t>PL</t>
        </is>
      </c>
      <c r="C623" t="inlineStr">
        <is>
          <t>CC_CLASSIC</t>
        </is>
      </c>
      <c r="D623" t="inlineStr">
        <is>
          <t>60-89</t>
        </is>
      </c>
      <c r="E623" t="n">
        <v>60</v>
      </c>
      <c r="F623" t="n">
        <v>7</v>
      </c>
      <c r="G623" t="n">
        <v>11473.75</v>
      </c>
      <c r="H623">
        <f>IFERROR(VLOOKUP(C623,Lookups!$A$3:$C$7,3,FALSE),"UNMAPPED")</f>
        <v/>
      </c>
    </row>
    <row r="624">
      <c r="A624" s="5" t="n">
        <v>45869</v>
      </c>
      <c r="B624" t="inlineStr">
        <is>
          <t>PL</t>
        </is>
      </c>
      <c r="C624" t="inlineStr">
        <is>
          <t>CC_CLASSIC</t>
        </is>
      </c>
      <c r="D624" t="inlineStr">
        <is>
          <t>90-179</t>
        </is>
      </c>
      <c r="E624" t="n">
        <v>90</v>
      </c>
      <c r="F624" t="n">
        <v>26</v>
      </c>
      <c r="G624" t="n">
        <v>89308.98</v>
      </c>
      <c r="H624">
        <f>IFERROR(VLOOKUP(C624,Lookups!$A$3:$C$7,3,FALSE),"UNMAPPED")</f>
        <v/>
      </c>
    </row>
    <row r="625">
      <c r="A625" s="5" t="n">
        <v>45869</v>
      </c>
      <c r="B625" t="inlineStr">
        <is>
          <t>PL</t>
        </is>
      </c>
      <c r="C625" t="inlineStr">
        <is>
          <t>CC_CONSOL</t>
        </is>
      </c>
      <c r="D625" t="inlineStr">
        <is>
          <t>Current</t>
        </is>
      </c>
      <c r="E625" t="n">
        <v>0</v>
      </c>
      <c r="F625" t="n">
        <v>77</v>
      </c>
      <c r="G625" t="n">
        <v>2242215.74</v>
      </c>
      <c r="H625">
        <f>IFERROR(VLOOKUP(C625,Lookups!$A$3:$C$7,3,FALSE),"UNMAPPED")</f>
        <v/>
      </c>
    </row>
    <row r="626">
      <c r="A626" s="5" t="n">
        <v>45869</v>
      </c>
      <c r="B626" t="inlineStr">
        <is>
          <t>PL</t>
        </is>
      </c>
      <c r="C626" t="inlineStr">
        <is>
          <t>CC_CONSOL</t>
        </is>
      </c>
      <c r="D626" t="inlineStr">
        <is>
          <t>1-29</t>
        </is>
      </c>
      <c r="E626" t="n">
        <v>1</v>
      </c>
      <c r="F626" t="n">
        <v>3</v>
      </c>
      <c r="G626" t="n">
        <v>82898.8</v>
      </c>
      <c r="H626">
        <f>IFERROR(VLOOKUP(C626,Lookups!$A$3:$C$7,3,FALSE),"UNMAPPED")</f>
        <v/>
      </c>
    </row>
    <row r="627">
      <c r="A627" s="5" t="n">
        <v>45869</v>
      </c>
      <c r="B627" t="inlineStr">
        <is>
          <t>PL</t>
        </is>
      </c>
      <c r="C627" t="inlineStr">
        <is>
          <t>CC_GOLD</t>
        </is>
      </c>
      <c r="D627" t="inlineStr">
        <is>
          <t>Current</t>
        </is>
      </c>
      <c r="E627" t="n">
        <v>0</v>
      </c>
      <c r="F627" t="n">
        <v>457</v>
      </c>
      <c r="G627" t="n">
        <v>4575802.35</v>
      </c>
      <c r="H627">
        <f>IFERROR(VLOOKUP(C627,Lookups!$A$3:$C$7,3,FALSE),"UNMAPPED")</f>
        <v/>
      </c>
    </row>
    <row r="628">
      <c r="A628" s="5" t="n">
        <v>45869</v>
      </c>
      <c r="B628" t="inlineStr">
        <is>
          <t>PL</t>
        </is>
      </c>
      <c r="C628" t="inlineStr">
        <is>
          <t>CC_GOLD</t>
        </is>
      </c>
      <c r="D628" t="inlineStr">
        <is>
          <t>1-29</t>
        </is>
      </c>
      <c r="E628" t="n">
        <v>1</v>
      </c>
      <c r="F628" t="n">
        <v>7</v>
      </c>
      <c r="G628" t="n">
        <v>90892.38</v>
      </c>
      <c r="H628">
        <f>IFERROR(VLOOKUP(C628,Lookups!$A$3:$C$7,3,FALSE),"UNMAPPED")</f>
        <v/>
      </c>
    </row>
    <row r="629">
      <c r="A629" s="5" t="n">
        <v>45869</v>
      </c>
      <c r="B629" t="inlineStr">
        <is>
          <t>PL</t>
        </is>
      </c>
      <c r="C629" t="inlineStr">
        <is>
          <t>CC_GOLD</t>
        </is>
      </c>
      <c r="D629" t="inlineStr">
        <is>
          <t>30-59</t>
        </is>
      </c>
      <c r="E629" t="n">
        <v>30</v>
      </c>
      <c r="F629" t="n">
        <v>5</v>
      </c>
      <c r="G629" t="n">
        <v>41124.86</v>
      </c>
      <c r="H629">
        <f>IFERROR(VLOOKUP(C629,Lookups!$A$3:$C$7,3,FALSE),"UNMAPPED")</f>
        <v/>
      </c>
    </row>
    <row r="630">
      <c r="A630" s="5" t="n">
        <v>45869</v>
      </c>
      <c r="B630" t="inlineStr">
        <is>
          <t>PL</t>
        </is>
      </c>
      <c r="C630" t="inlineStr">
        <is>
          <t>CC_GOLD</t>
        </is>
      </c>
      <c r="D630" t="inlineStr">
        <is>
          <t>90-179</t>
        </is>
      </c>
      <c r="E630" t="n">
        <v>90</v>
      </c>
      <c r="F630" t="n">
        <v>8</v>
      </c>
      <c r="G630" t="n">
        <v>122258.77</v>
      </c>
      <c r="H630">
        <f>IFERROR(VLOOKUP(C630,Lookups!$A$3:$C$7,3,FALSE),"UNMAPPED")</f>
        <v/>
      </c>
    </row>
    <row r="631">
      <c r="A631" s="5" t="n">
        <v>45869</v>
      </c>
      <c r="B631" t="inlineStr">
        <is>
          <t>PL</t>
        </is>
      </c>
      <c r="C631" t="inlineStr">
        <is>
          <t>PL_PREM</t>
        </is>
      </c>
      <c r="D631" t="inlineStr">
        <is>
          <t>Current</t>
        </is>
      </c>
      <c r="E631" t="n">
        <v>0</v>
      </c>
      <c r="F631" t="n">
        <v>490</v>
      </c>
      <c r="G631" t="n">
        <v>20565148.47</v>
      </c>
      <c r="H631">
        <f>IFERROR(VLOOKUP(C631,Lookups!$A$3:$C$7,3,FALSE),"UNMAPPED")</f>
        <v/>
      </c>
    </row>
    <row r="632">
      <c r="A632" s="5" t="n">
        <v>45869</v>
      </c>
      <c r="B632" t="inlineStr">
        <is>
          <t>PL</t>
        </is>
      </c>
      <c r="C632" t="inlineStr">
        <is>
          <t>PL_PREM</t>
        </is>
      </c>
      <c r="D632" t="inlineStr">
        <is>
          <t>1-29</t>
        </is>
      </c>
      <c r="E632" t="n">
        <v>1</v>
      </c>
      <c r="F632" t="n">
        <v>3</v>
      </c>
      <c r="G632" t="n">
        <v>165457.3</v>
      </c>
      <c r="H632">
        <f>IFERROR(VLOOKUP(C632,Lookups!$A$3:$C$7,3,FALSE),"UNMAPPED")</f>
        <v/>
      </c>
    </row>
    <row r="633">
      <c r="A633" s="5" t="n">
        <v>45869</v>
      </c>
      <c r="B633" t="inlineStr">
        <is>
          <t>PL</t>
        </is>
      </c>
      <c r="C633" t="inlineStr">
        <is>
          <t>PL_PREM</t>
        </is>
      </c>
      <c r="D633" t="inlineStr">
        <is>
          <t>30-59</t>
        </is>
      </c>
      <c r="E633" t="n">
        <v>30</v>
      </c>
      <c r="F633" t="n">
        <v>7</v>
      </c>
      <c r="G633" t="n">
        <v>232720.91</v>
      </c>
      <c r="H633">
        <f>IFERROR(VLOOKUP(C633,Lookups!$A$3:$C$7,3,FALSE),"UNMAPPED")</f>
        <v/>
      </c>
    </row>
    <row r="634">
      <c r="A634" s="5" t="n">
        <v>45869</v>
      </c>
      <c r="B634" t="inlineStr">
        <is>
          <t>PL</t>
        </is>
      </c>
      <c r="C634" t="inlineStr">
        <is>
          <t>PL_PREM</t>
        </is>
      </c>
      <c r="D634" t="inlineStr">
        <is>
          <t>60-89</t>
        </is>
      </c>
      <c r="E634" t="n">
        <v>60</v>
      </c>
      <c r="F634" t="n">
        <v>3</v>
      </c>
      <c r="G634" t="n">
        <v>83445.28999999999</v>
      </c>
      <c r="H634">
        <f>IFERROR(VLOOKUP(C634,Lookups!$A$3:$C$7,3,FALSE),"UNMAPPED")</f>
        <v/>
      </c>
    </row>
    <row r="635">
      <c r="A635" s="5" t="n">
        <v>45869</v>
      </c>
      <c r="B635" t="inlineStr">
        <is>
          <t>PL</t>
        </is>
      </c>
      <c r="C635" t="inlineStr">
        <is>
          <t>PL_PREM</t>
        </is>
      </c>
      <c r="D635" t="inlineStr">
        <is>
          <t>90-179</t>
        </is>
      </c>
      <c r="E635" t="n">
        <v>90</v>
      </c>
      <c r="F635" t="n">
        <v>7</v>
      </c>
      <c r="G635" t="n">
        <v>352852.66</v>
      </c>
      <c r="H635">
        <f>IFERROR(VLOOKUP(C635,Lookups!$A$3:$C$7,3,FALSE),"UNMAPPED")</f>
        <v/>
      </c>
    </row>
    <row r="636">
      <c r="A636" s="5" t="n">
        <v>45869</v>
      </c>
      <c r="B636" t="inlineStr">
        <is>
          <t>PL</t>
        </is>
      </c>
      <c r="C636" t="inlineStr">
        <is>
          <t>PL_STD</t>
        </is>
      </c>
      <c r="D636" t="inlineStr">
        <is>
          <t>Current</t>
        </is>
      </c>
      <c r="E636" t="n">
        <v>0</v>
      </c>
      <c r="F636" t="n">
        <v>1101</v>
      </c>
      <c r="G636" t="n">
        <v>12992745.63</v>
      </c>
      <c r="H636">
        <f>IFERROR(VLOOKUP(C636,Lookups!$A$3:$C$7,3,FALSE),"UNMAPPED")</f>
        <v/>
      </c>
    </row>
    <row r="637">
      <c r="A637" s="5" t="n">
        <v>45869</v>
      </c>
      <c r="B637" t="inlineStr">
        <is>
          <t>PL</t>
        </is>
      </c>
      <c r="C637" t="inlineStr">
        <is>
          <t>PL_STD</t>
        </is>
      </c>
      <c r="D637" t="inlineStr">
        <is>
          <t>1-29</t>
        </is>
      </c>
      <c r="E637" t="n">
        <v>1</v>
      </c>
      <c r="F637" t="n">
        <v>24</v>
      </c>
      <c r="G637" t="n">
        <v>319039.1</v>
      </c>
      <c r="H637">
        <f>IFERROR(VLOOKUP(C637,Lookups!$A$3:$C$7,3,FALSE),"UNMAPPED")</f>
        <v/>
      </c>
    </row>
    <row r="638">
      <c r="A638" s="5" t="n">
        <v>45869</v>
      </c>
      <c r="B638" t="inlineStr">
        <is>
          <t>PL</t>
        </is>
      </c>
      <c r="C638" t="inlineStr">
        <is>
          <t>PL_STD</t>
        </is>
      </c>
      <c r="D638" t="inlineStr">
        <is>
          <t>30-59</t>
        </is>
      </c>
      <c r="E638" t="n">
        <v>30</v>
      </c>
      <c r="F638" t="n">
        <v>8</v>
      </c>
      <c r="G638" t="n">
        <v>85952.17</v>
      </c>
      <c r="H638">
        <f>IFERROR(VLOOKUP(C638,Lookups!$A$3:$C$7,3,FALSE),"UNMAPPED")</f>
        <v/>
      </c>
    </row>
    <row r="639">
      <c r="A639" s="5" t="n">
        <v>45869</v>
      </c>
      <c r="B639" t="inlineStr">
        <is>
          <t>PL</t>
        </is>
      </c>
      <c r="C639" t="inlineStr">
        <is>
          <t>PL_STD</t>
        </is>
      </c>
      <c r="D639" t="inlineStr">
        <is>
          <t>60-89</t>
        </is>
      </c>
      <c r="E639" t="n">
        <v>60</v>
      </c>
      <c r="F639" t="n">
        <v>9</v>
      </c>
      <c r="G639" t="n">
        <v>107633.06</v>
      </c>
      <c r="H639">
        <f>IFERROR(VLOOKUP(C639,Lookups!$A$3:$C$7,3,FALSE),"UNMAPPED")</f>
        <v/>
      </c>
    </row>
    <row r="640">
      <c r="A640" s="5" t="n">
        <v>45869</v>
      </c>
      <c r="B640" t="inlineStr">
        <is>
          <t>PL</t>
        </is>
      </c>
      <c r="C640" t="inlineStr">
        <is>
          <t>PL_STD</t>
        </is>
      </c>
      <c r="D640" t="inlineStr">
        <is>
          <t>90-179</t>
        </is>
      </c>
      <c r="E640" t="n">
        <v>90</v>
      </c>
      <c r="F640" t="n">
        <v>11</v>
      </c>
      <c r="G640" t="n">
        <v>156269.59</v>
      </c>
      <c r="H640">
        <f>IFERROR(VLOOKUP(C640,Lookups!$A$3:$C$7,3,FALSE),"UNMAPPED")</f>
        <v/>
      </c>
    </row>
    <row r="641">
      <c r="A641" s="5" t="n">
        <v>45869</v>
      </c>
      <c r="B641" t="inlineStr">
        <is>
          <t>RO</t>
        </is>
      </c>
      <c r="C641" t="inlineStr">
        <is>
          <t>CC_CLASSIC</t>
        </is>
      </c>
      <c r="D641" t="inlineStr">
        <is>
          <t>Current</t>
        </is>
      </c>
      <c r="E641" t="n">
        <v>0</v>
      </c>
      <c r="F641" t="n">
        <v>858</v>
      </c>
      <c r="G641" t="n">
        <v>2805796.55</v>
      </c>
      <c r="H641">
        <f>IFERROR(VLOOKUP(C641,Lookups!$A$3:$C$7,3,FALSE),"UNMAPPED")</f>
        <v/>
      </c>
    </row>
    <row r="642">
      <c r="A642" s="5" t="n">
        <v>45869</v>
      </c>
      <c r="B642" t="inlineStr">
        <is>
          <t>RO</t>
        </is>
      </c>
      <c r="C642" t="inlineStr">
        <is>
          <t>CC_CLASSIC</t>
        </is>
      </c>
      <c r="D642" t="inlineStr">
        <is>
          <t>1-29</t>
        </is>
      </c>
      <c r="E642" t="n">
        <v>1</v>
      </c>
      <c r="F642" t="n">
        <v>16</v>
      </c>
      <c r="G642" t="n">
        <v>41072.2</v>
      </c>
      <c r="H642">
        <f>IFERROR(VLOOKUP(C642,Lookups!$A$3:$C$7,3,FALSE),"UNMAPPED")</f>
        <v/>
      </c>
    </row>
    <row r="643">
      <c r="A643" s="5" t="n">
        <v>45869</v>
      </c>
      <c r="B643" t="inlineStr">
        <is>
          <t>RO</t>
        </is>
      </c>
      <c r="C643" t="inlineStr">
        <is>
          <t>CC_CLASSIC</t>
        </is>
      </c>
      <c r="D643" t="inlineStr">
        <is>
          <t>30-59</t>
        </is>
      </c>
      <c r="E643" t="n">
        <v>30</v>
      </c>
      <c r="F643" t="n">
        <v>9</v>
      </c>
      <c r="G643" t="n">
        <v>23720.28</v>
      </c>
      <c r="H643">
        <f>IFERROR(VLOOKUP(C643,Lookups!$A$3:$C$7,3,FALSE),"UNMAPPED")</f>
        <v/>
      </c>
    </row>
    <row r="644">
      <c r="A644" s="5" t="n">
        <v>45869</v>
      </c>
      <c r="B644" t="inlineStr">
        <is>
          <t>RO</t>
        </is>
      </c>
      <c r="C644" t="inlineStr">
        <is>
          <t>CC_CLASSIC</t>
        </is>
      </c>
      <c r="D644" t="inlineStr">
        <is>
          <t>60-89</t>
        </is>
      </c>
      <c r="E644" t="n">
        <v>60</v>
      </c>
      <c r="F644" t="n">
        <v>5</v>
      </c>
      <c r="G644" t="n">
        <v>17707.67</v>
      </c>
      <c r="H644">
        <f>IFERROR(VLOOKUP(C644,Lookups!$A$3:$C$7,3,FALSE),"UNMAPPED")</f>
        <v/>
      </c>
    </row>
    <row r="645">
      <c r="A645" s="5" t="n">
        <v>45869</v>
      </c>
      <c r="B645" t="inlineStr">
        <is>
          <t>RO</t>
        </is>
      </c>
      <c r="C645" t="inlineStr">
        <is>
          <t>CC_CLASSIC</t>
        </is>
      </c>
      <c r="D645" t="inlineStr">
        <is>
          <t>90-179</t>
        </is>
      </c>
      <c r="E645" t="n">
        <v>90</v>
      </c>
      <c r="F645" t="n">
        <v>14</v>
      </c>
      <c r="G645" t="n">
        <v>62272.57</v>
      </c>
      <c r="H645">
        <f>IFERROR(VLOOKUP(C645,Lookups!$A$3:$C$7,3,FALSE),"UNMAPPED")</f>
        <v/>
      </c>
    </row>
    <row r="646">
      <c r="A646" s="5" t="n">
        <v>45869</v>
      </c>
      <c r="B646" t="inlineStr">
        <is>
          <t>RO</t>
        </is>
      </c>
      <c r="C646" t="inlineStr">
        <is>
          <t>CC_CONSOL</t>
        </is>
      </c>
      <c r="D646" t="inlineStr">
        <is>
          <t>Current</t>
        </is>
      </c>
      <c r="E646" t="n">
        <v>0</v>
      </c>
      <c r="F646" t="n">
        <v>47</v>
      </c>
      <c r="G646" t="n">
        <v>1750749.34</v>
      </c>
      <c r="H646">
        <f>IFERROR(VLOOKUP(C646,Lookups!$A$3:$C$7,3,FALSE),"UNMAPPED")</f>
        <v/>
      </c>
    </row>
    <row r="647">
      <c r="A647" s="5" t="n">
        <v>45869</v>
      </c>
      <c r="B647" t="inlineStr">
        <is>
          <t>RO</t>
        </is>
      </c>
      <c r="C647" t="inlineStr">
        <is>
          <t>CC_CONSOL</t>
        </is>
      </c>
      <c r="D647" t="inlineStr">
        <is>
          <t>1-29</t>
        </is>
      </c>
      <c r="E647" t="n">
        <v>1</v>
      </c>
      <c r="F647" t="n">
        <v>1</v>
      </c>
      <c r="G647" t="n">
        <v>51538.72</v>
      </c>
      <c r="H647">
        <f>IFERROR(VLOOKUP(C647,Lookups!$A$3:$C$7,3,FALSE),"UNMAPPED")</f>
        <v/>
      </c>
    </row>
    <row r="648">
      <c r="A648" s="5" t="n">
        <v>45869</v>
      </c>
      <c r="B648" t="inlineStr">
        <is>
          <t>RO</t>
        </is>
      </c>
      <c r="C648" t="inlineStr">
        <is>
          <t>CC_CONSOL</t>
        </is>
      </c>
      <c r="D648" t="inlineStr">
        <is>
          <t>30-59</t>
        </is>
      </c>
      <c r="E648" t="n">
        <v>30</v>
      </c>
      <c r="F648" t="n">
        <v>1</v>
      </c>
      <c r="G648" t="n">
        <v>61167.81</v>
      </c>
      <c r="H648">
        <f>IFERROR(VLOOKUP(C648,Lookups!$A$3:$C$7,3,FALSE),"UNMAPPED")</f>
        <v/>
      </c>
    </row>
    <row r="649">
      <c r="A649" s="5" t="n">
        <v>45869</v>
      </c>
      <c r="B649" t="inlineStr">
        <is>
          <t>RO</t>
        </is>
      </c>
      <c r="C649" t="inlineStr">
        <is>
          <t>CC_GOLD</t>
        </is>
      </c>
      <c r="D649" t="inlineStr">
        <is>
          <t>Current</t>
        </is>
      </c>
      <c r="E649" t="n">
        <v>0</v>
      </c>
      <c r="F649" t="n">
        <v>228</v>
      </c>
      <c r="G649" t="n">
        <v>2639000.17</v>
      </c>
      <c r="H649">
        <f>IFERROR(VLOOKUP(C649,Lookups!$A$3:$C$7,3,FALSE),"UNMAPPED")</f>
        <v/>
      </c>
    </row>
    <row r="650">
      <c r="A650" s="5" t="n">
        <v>45869</v>
      </c>
      <c r="B650" t="inlineStr">
        <is>
          <t>RO</t>
        </is>
      </c>
      <c r="C650" t="inlineStr">
        <is>
          <t>CC_GOLD</t>
        </is>
      </c>
      <c r="D650" t="inlineStr">
        <is>
          <t>1-29</t>
        </is>
      </c>
      <c r="E650" t="n">
        <v>1</v>
      </c>
      <c r="F650" t="n">
        <v>4</v>
      </c>
      <c r="G650" t="n">
        <v>65978.49000000001</v>
      </c>
      <c r="H650">
        <f>IFERROR(VLOOKUP(C650,Lookups!$A$3:$C$7,3,FALSE),"UNMAPPED")</f>
        <v/>
      </c>
    </row>
    <row r="651">
      <c r="A651" s="5" t="n">
        <v>45869</v>
      </c>
      <c r="B651" t="inlineStr">
        <is>
          <t>RO</t>
        </is>
      </c>
      <c r="C651" t="inlineStr">
        <is>
          <t>CC_GOLD</t>
        </is>
      </c>
      <c r="D651" t="inlineStr">
        <is>
          <t>30-59</t>
        </is>
      </c>
      <c r="E651" t="n">
        <v>30</v>
      </c>
      <c r="F651" t="n">
        <v>4</v>
      </c>
      <c r="G651" t="n">
        <v>68327.10000000001</v>
      </c>
      <c r="H651">
        <f>IFERROR(VLOOKUP(C651,Lookups!$A$3:$C$7,3,FALSE),"UNMAPPED")</f>
        <v/>
      </c>
    </row>
    <row r="652">
      <c r="A652" s="5" t="n">
        <v>45869</v>
      </c>
      <c r="B652" t="inlineStr">
        <is>
          <t>RO</t>
        </is>
      </c>
      <c r="C652" t="inlineStr">
        <is>
          <t>CC_GOLD</t>
        </is>
      </c>
      <c r="D652" t="inlineStr">
        <is>
          <t>60-89</t>
        </is>
      </c>
      <c r="E652" t="n">
        <v>60</v>
      </c>
      <c r="F652" t="n">
        <v>3</v>
      </c>
      <c r="G652" t="n">
        <v>40663.06</v>
      </c>
      <c r="H652">
        <f>IFERROR(VLOOKUP(C652,Lookups!$A$3:$C$7,3,FALSE),"UNMAPPED")</f>
        <v/>
      </c>
    </row>
    <row r="653">
      <c r="A653" s="5" t="n">
        <v>45869</v>
      </c>
      <c r="B653" t="inlineStr">
        <is>
          <t>RO</t>
        </is>
      </c>
      <c r="C653" t="inlineStr">
        <is>
          <t>CC_GOLD</t>
        </is>
      </c>
      <c r="D653" t="inlineStr">
        <is>
          <t>90-179</t>
        </is>
      </c>
      <c r="E653" t="n">
        <v>90</v>
      </c>
      <c r="F653" t="n">
        <v>4</v>
      </c>
      <c r="G653" t="n">
        <v>56811.64</v>
      </c>
      <c r="H653">
        <f>IFERROR(VLOOKUP(C653,Lookups!$A$3:$C$7,3,FALSE),"UNMAPPED")</f>
        <v/>
      </c>
    </row>
    <row r="654">
      <c r="A654" s="5" t="n">
        <v>45869</v>
      </c>
      <c r="B654" t="inlineStr">
        <is>
          <t>RO</t>
        </is>
      </c>
      <c r="C654" t="inlineStr">
        <is>
          <t>PL_PREM</t>
        </is>
      </c>
      <c r="D654" t="inlineStr">
        <is>
          <t>Current</t>
        </is>
      </c>
      <c r="E654" t="n">
        <v>0</v>
      </c>
      <c r="F654" t="n">
        <v>280</v>
      </c>
      <c r="G654" t="n">
        <v>13124206.71</v>
      </c>
      <c r="H654">
        <f>IFERROR(VLOOKUP(C654,Lookups!$A$3:$C$7,3,FALSE),"UNMAPPED")</f>
        <v/>
      </c>
    </row>
    <row r="655">
      <c r="A655" s="5" t="n">
        <v>45869</v>
      </c>
      <c r="B655" t="inlineStr">
        <is>
          <t>RO</t>
        </is>
      </c>
      <c r="C655" t="inlineStr">
        <is>
          <t>PL_PREM</t>
        </is>
      </c>
      <c r="D655" t="inlineStr">
        <is>
          <t>1-29</t>
        </is>
      </c>
      <c r="E655" t="n">
        <v>1</v>
      </c>
      <c r="F655" t="n">
        <v>9</v>
      </c>
      <c r="G655" t="n">
        <v>398740.28</v>
      </c>
      <c r="H655">
        <f>IFERROR(VLOOKUP(C655,Lookups!$A$3:$C$7,3,FALSE),"UNMAPPED")</f>
        <v/>
      </c>
    </row>
    <row r="656">
      <c r="A656" s="5" t="n">
        <v>45869</v>
      </c>
      <c r="B656" t="inlineStr">
        <is>
          <t>RO</t>
        </is>
      </c>
      <c r="C656" t="inlineStr">
        <is>
          <t>PL_PREM</t>
        </is>
      </c>
      <c r="D656" t="inlineStr">
        <is>
          <t>30-59</t>
        </is>
      </c>
      <c r="E656" t="n">
        <v>30</v>
      </c>
      <c r="F656" t="n">
        <v>4</v>
      </c>
      <c r="G656" t="n">
        <v>300416.77</v>
      </c>
      <c r="H656">
        <f>IFERROR(VLOOKUP(C656,Lookups!$A$3:$C$7,3,FALSE),"UNMAPPED")</f>
        <v/>
      </c>
    </row>
    <row r="657">
      <c r="A657" s="5" t="n">
        <v>45869</v>
      </c>
      <c r="B657" t="inlineStr">
        <is>
          <t>RO</t>
        </is>
      </c>
      <c r="C657" t="inlineStr">
        <is>
          <t>PL_PREM</t>
        </is>
      </c>
      <c r="D657" t="inlineStr">
        <is>
          <t>60-89</t>
        </is>
      </c>
      <c r="E657" t="n">
        <v>60</v>
      </c>
      <c r="F657" t="n">
        <v>3</v>
      </c>
      <c r="G657" t="n">
        <v>186288.67</v>
      </c>
      <c r="H657">
        <f>IFERROR(VLOOKUP(C657,Lookups!$A$3:$C$7,3,FALSE),"UNMAPPED")</f>
        <v/>
      </c>
    </row>
    <row r="658">
      <c r="A658" s="5" t="n">
        <v>45869</v>
      </c>
      <c r="B658" t="inlineStr">
        <is>
          <t>RO</t>
        </is>
      </c>
      <c r="C658" t="inlineStr">
        <is>
          <t>PL_PREM</t>
        </is>
      </c>
      <c r="D658" t="inlineStr">
        <is>
          <t>90-179</t>
        </is>
      </c>
      <c r="E658" t="n">
        <v>90</v>
      </c>
      <c r="F658" t="n">
        <v>2</v>
      </c>
      <c r="G658" t="n">
        <v>40863.58</v>
      </c>
      <c r="H658">
        <f>IFERROR(VLOOKUP(C658,Lookups!$A$3:$C$7,3,FALSE),"UNMAPPED")</f>
        <v/>
      </c>
    </row>
    <row r="659">
      <c r="A659" s="5" t="n">
        <v>45869</v>
      </c>
      <c r="B659" t="inlineStr">
        <is>
          <t>RO</t>
        </is>
      </c>
      <c r="C659" t="inlineStr">
        <is>
          <t>PL_STD</t>
        </is>
      </c>
      <c r="D659" t="inlineStr">
        <is>
          <t>Current</t>
        </is>
      </c>
      <c r="E659" t="n">
        <v>0</v>
      </c>
      <c r="F659" t="n">
        <v>708</v>
      </c>
      <c r="G659" t="n">
        <v>10634814.89</v>
      </c>
      <c r="H659">
        <f>IFERROR(VLOOKUP(C659,Lookups!$A$3:$C$7,3,FALSE),"UNMAPPED")</f>
        <v/>
      </c>
    </row>
    <row r="660">
      <c r="A660" s="5" t="n">
        <v>45869</v>
      </c>
      <c r="B660" t="inlineStr">
        <is>
          <t>RO</t>
        </is>
      </c>
      <c r="C660" t="inlineStr">
        <is>
          <t>PL_STD</t>
        </is>
      </c>
      <c r="D660" t="inlineStr">
        <is>
          <t>1-29</t>
        </is>
      </c>
      <c r="E660" t="n">
        <v>1</v>
      </c>
      <c r="F660" t="n">
        <v>20</v>
      </c>
      <c r="G660" t="n">
        <v>271043.62</v>
      </c>
      <c r="H660">
        <f>IFERROR(VLOOKUP(C660,Lookups!$A$3:$C$7,3,FALSE),"UNMAPPED")</f>
        <v/>
      </c>
    </row>
    <row r="661">
      <c r="A661" s="5" t="n">
        <v>45869</v>
      </c>
      <c r="B661" t="inlineStr">
        <is>
          <t>RO</t>
        </is>
      </c>
      <c r="C661" t="inlineStr">
        <is>
          <t>PL_STD</t>
        </is>
      </c>
      <c r="D661" t="inlineStr">
        <is>
          <t>30-59</t>
        </is>
      </c>
      <c r="E661" t="n">
        <v>30</v>
      </c>
      <c r="F661" t="n">
        <v>11</v>
      </c>
      <c r="G661" t="n">
        <v>152439.83</v>
      </c>
      <c r="H661">
        <f>IFERROR(VLOOKUP(C661,Lookups!$A$3:$C$7,3,FALSE),"UNMAPPED")</f>
        <v/>
      </c>
    </row>
    <row r="662">
      <c r="A662" s="5" t="n">
        <v>45869</v>
      </c>
      <c r="B662" t="inlineStr">
        <is>
          <t>RO</t>
        </is>
      </c>
      <c r="C662" t="inlineStr">
        <is>
          <t>PL_STD</t>
        </is>
      </c>
      <c r="D662" t="inlineStr">
        <is>
          <t>60-89</t>
        </is>
      </c>
      <c r="E662" t="n">
        <v>60</v>
      </c>
      <c r="F662" t="n">
        <v>6</v>
      </c>
      <c r="G662" t="n">
        <v>104029.57</v>
      </c>
      <c r="H662">
        <f>IFERROR(VLOOKUP(C662,Lookups!$A$3:$C$7,3,FALSE),"UNMAPPED")</f>
        <v/>
      </c>
    </row>
    <row r="663">
      <c r="A663" s="5" t="n">
        <v>45869</v>
      </c>
      <c r="B663" t="inlineStr">
        <is>
          <t>RO</t>
        </is>
      </c>
      <c r="C663" t="inlineStr">
        <is>
          <t>PL_STD</t>
        </is>
      </c>
      <c r="D663" t="inlineStr">
        <is>
          <t>90-179</t>
        </is>
      </c>
      <c r="E663" t="n">
        <v>90</v>
      </c>
      <c r="F663" t="n">
        <v>14</v>
      </c>
      <c r="G663" t="n">
        <v>119689.37</v>
      </c>
      <c r="H663">
        <f>IFERROR(VLOOKUP(C663,Lookups!$A$3:$C$7,3,FALSE),"UNMAPPED")</f>
        <v/>
      </c>
    </row>
    <row r="664">
      <c r="A664" s="5" t="n">
        <v>45900</v>
      </c>
      <c r="B664" t="inlineStr">
        <is>
          <t>CZ</t>
        </is>
      </c>
      <c r="C664" t="inlineStr">
        <is>
          <t>CC_CLASSIC</t>
        </is>
      </c>
      <c r="D664" t="inlineStr">
        <is>
          <t>Current</t>
        </is>
      </c>
      <c r="E664" t="n">
        <v>0</v>
      </c>
      <c r="F664" t="n">
        <v>1190</v>
      </c>
      <c r="G664" t="n">
        <v>19641423.34</v>
      </c>
      <c r="H664">
        <f>IFERROR(VLOOKUP(C664,Lookups!$A$3:$C$7,3,FALSE),"UNMAPPED")</f>
        <v/>
      </c>
    </row>
    <row r="665">
      <c r="A665" s="5" t="n">
        <v>45900</v>
      </c>
      <c r="B665" t="inlineStr">
        <is>
          <t>CZ</t>
        </is>
      </c>
      <c r="C665" t="inlineStr">
        <is>
          <t>CC_CLASSIC</t>
        </is>
      </c>
      <c r="D665" t="inlineStr">
        <is>
          <t>1-29</t>
        </is>
      </c>
      <c r="E665" t="n">
        <v>1</v>
      </c>
      <c r="F665" t="n">
        <v>12</v>
      </c>
      <c r="G665" t="n">
        <v>281260.12</v>
      </c>
      <c r="H665">
        <f>IFERROR(VLOOKUP(C665,Lookups!$A$3:$C$7,3,FALSE),"UNMAPPED")</f>
        <v/>
      </c>
    </row>
    <row r="666">
      <c r="A666" s="5" t="n">
        <v>45900</v>
      </c>
      <c r="B666" t="inlineStr">
        <is>
          <t>CZ</t>
        </is>
      </c>
      <c r="C666" t="inlineStr">
        <is>
          <t>CC_CLASSIC</t>
        </is>
      </c>
      <c r="D666" t="inlineStr">
        <is>
          <t>30-59</t>
        </is>
      </c>
      <c r="E666" t="n">
        <v>30</v>
      </c>
      <c r="F666" t="n">
        <v>10</v>
      </c>
      <c r="G666" t="n">
        <v>189917.63</v>
      </c>
      <c r="H666">
        <f>IFERROR(VLOOKUP(C666,Lookups!$A$3:$C$7,3,FALSE),"UNMAPPED")</f>
        <v/>
      </c>
    </row>
    <row r="667">
      <c r="A667" s="5" t="n">
        <v>45900</v>
      </c>
      <c r="B667" t="inlineStr">
        <is>
          <t>CZ</t>
        </is>
      </c>
      <c r="C667" t="inlineStr">
        <is>
          <t>CC_CLASSIC</t>
        </is>
      </c>
      <c r="D667" t="inlineStr">
        <is>
          <t>60-89</t>
        </is>
      </c>
      <c r="E667" t="n">
        <v>60</v>
      </c>
      <c r="F667" t="n">
        <v>8</v>
      </c>
      <c r="G667" t="n">
        <v>152523.95</v>
      </c>
      <c r="H667">
        <f>IFERROR(VLOOKUP(C667,Lookups!$A$3:$C$7,3,FALSE),"UNMAPPED")</f>
        <v/>
      </c>
    </row>
    <row r="668">
      <c r="A668" s="5" t="n">
        <v>45900</v>
      </c>
      <c r="B668" t="inlineStr">
        <is>
          <t>CZ</t>
        </is>
      </c>
      <c r="C668" t="inlineStr">
        <is>
          <t>CC_CLASSIC</t>
        </is>
      </c>
      <c r="D668" t="inlineStr">
        <is>
          <t>90-179</t>
        </is>
      </c>
      <c r="E668" t="n">
        <v>90</v>
      </c>
      <c r="F668" t="n">
        <v>16</v>
      </c>
      <c r="G668" t="n">
        <v>276441.85</v>
      </c>
      <c r="H668">
        <f>IFERROR(VLOOKUP(C668,Lookups!$A$3:$C$7,3,FALSE),"UNMAPPED")</f>
        <v/>
      </c>
    </row>
    <row r="669">
      <c r="A669" s="5" t="n">
        <v>45900</v>
      </c>
      <c r="B669" t="inlineStr">
        <is>
          <t>CZ</t>
        </is>
      </c>
      <c r="C669" t="inlineStr">
        <is>
          <t>CC_CONSOL</t>
        </is>
      </c>
      <c r="D669" t="inlineStr">
        <is>
          <t>Current</t>
        </is>
      </c>
      <c r="E669" t="n">
        <v>0</v>
      </c>
      <c r="F669" t="n">
        <v>76</v>
      </c>
      <c r="G669" t="n">
        <v>11610722.42</v>
      </c>
      <c r="H669">
        <f>IFERROR(VLOOKUP(C669,Lookups!$A$3:$C$7,3,FALSE),"UNMAPPED")</f>
        <v/>
      </c>
    </row>
    <row r="670">
      <c r="A670" s="5" t="n">
        <v>45900</v>
      </c>
      <c r="B670" t="inlineStr">
        <is>
          <t>CZ</t>
        </is>
      </c>
      <c r="C670" t="inlineStr">
        <is>
          <t>CC_CONSOL</t>
        </is>
      </c>
      <c r="D670" t="inlineStr">
        <is>
          <t>1-29</t>
        </is>
      </c>
      <c r="E670" t="n">
        <v>1</v>
      </c>
      <c r="F670" t="n">
        <v>1</v>
      </c>
      <c r="G670" t="n">
        <v>287826.25</v>
      </c>
      <c r="H670">
        <f>IFERROR(VLOOKUP(C670,Lookups!$A$3:$C$7,3,FALSE),"UNMAPPED")</f>
        <v/>
      </c>
    </row>
    <row r="671">
      <c r="A671" s="5" t="n">
        <v>45900</v>
      </c>
      <c r="B671" t="inlineStr">
        <is>
          <t>CZ</t>
        </is>
      </c>
      <c r="C671" t="inlineStr">
        <is>
          <t>CC_GOLD</t>
        </is>
      </c>
      <c r="D671" t="inlineStr">
        <is>
          <t>Current</t>
        </is>
      </c>
      <c r="E671" t="n">
        <v>0</v>
      </c>
      <c r="F671" t="n">
        <v>324</v>
      </c>
      <c r="G671" t="n">
        <v>19758419.97</v>
      </c>
      <c r="H671">
        <f>IFERROR(VLOOKUP(C671,Lookups!$A$3:$C$7,3,FALSE),"UNMAPPED")</f>
        <v/>
      </c>
    </row>
    <row r="672">
      <c r="A672" s="5" t="n">
        <v>45900</v>
      </c>
      <c r="B672" t="inlineStr">
        <is>
          <t>CZ</t>
        </is>
      </c>
      <c r="C672" t="inlineStr">
        <is>
          <t>CC_GOLD</t>
        </is>
      </c>
      <c r="D672" t="inlineStr">
        <is>
          <t>1-29</t>
        </is>
      </c>
      <c r="E672" t="n">
        <v>1</v>
      </c>
      <c r="F672" t="n">
        <v>1</v>
      </c>
      <c r="G672" t="n">
        <v>70766.85000000001</v>
      </c>
      <c r="H672">
        <f>IFERROR(VLOOKUP(C672,Lookups!$A$3:$C$7,3,FALSE),"UNMAPPED")</f>
        <v/>
      </c>
    </row>
    <row r="673">
      <c r="A673" s="5" t="n">
        <v>45900</v>
      </c>
      <c r="B673" t="inlineStr">
        <is>
          <t>CZ</t>
        </is>
      </c>
      <c r="C673" t="inlineStr">
        <is>
          <t>CC_GOLD</t>
        </is>
      </c>
      <c r="D673" t="inlineStr">
        <is>
          <t>30-59</t>
        </is>
      </c>
      <c r="E673" t="n">
        <v>30</v>
      </c>
      <c r="F673" t="n">
        <v>2</v>
      </c>
      <c r="G673" t="n">
        <v>91996</v>
      </c>
      <c r="H673">
        <f>IFERROR(VLOOKUP(C673,Lookups!$A$3:$C$7,3,FALSE),"UNMAPPED")</f>
        <v/>
      </c>
    </row>
    <row r="674">
      <c r="A674" s="5" t="n">
        <v>45900</v>
      </c>
      <c r="B674" t="inlineStr">
        <is>
          <t>CZ</t>
        </is>
      </c>
      <c r="C674" t="inlineStr">
        <is>
          <t>CC_GOLD</t>
        </is>
      </c>
      <c r="D674" t="inlineStr">
        <is>
          <t>60-89</t>
        </is>
      </c>
      <c r="E674" t="n">
        <v>60</v>
      </c>
      <c r="F674" t="n">
        <v>3</v>
      </c>
      <c r="G674" t="n">
        <v>278378.91</v>
      </c>
      <c r="H674">
        <f>IFERROR(VLOOKUP(C674,Lookups!$A$3:$C$7,3,FALSE),"UNMAPPED")</f>
        <v/>
      </c>
    </row>
    <row r="675">
      <c r="A675" s="5" t="n">
        <v>45900</v>
      </c>
      <c r="B675" t="inlineStr">
        <is>
          <t>CZ</t>
        </is>
      </c>
      <c r="C675" t="inlineStr">
        <is>
          <t>CC_GOLD</t>
        </is>
      </c>
      <c r="D675" t="inlineStr">
        <is>
          <t>90-179</t>
        </is>
      </c>
      <c r="E675" t="n">
        <v>90</v>
      </c>
      <c r="F675" t="n">
        <v>7</v>
      </c>
      <c r="G675" t="n">
        <v>279477.87</v>
      </c>
      <c r="H675">
        <f>IFERROR(VLOOKUP(C675,Lookups!$A$3:$C$7,3,FALSE),"UNMAPPED")</f>
        <v/>
      </c>
    </row>
    <row r="676">
      <c r="A676" s="5" t="n">
        <v>45900</v>
      </c>
      <c r="B676" t="inlineStr">
        <is>
          <t>CZ</t>
        </is>
      </c>
      <c r="C676" t="inlineStr">
        <is>
          <t>PL_PREM</t>
        </is>
      </c>
      <c r="D676" t="inlineStr">
        <is>
          <t>Current</t>
        </is>
      </c>
      <c r="E676" t="n">
        <v>0</v>
      </c>
      <c r="F676" t="n">
        <v>326</v>
      </c>
      <c r="G676" t="n">
        <v>75960837.37</v>
      </c>
      <c r="H676">
        <f>IFERROR(VLOOKUP(C676,Lookups!$A$3:$C$7,3,FALSE),"UNMAPPED")</f>
        <v/>
      </c>
    </row>
    <row r="677">
      <c r="A677" s="5" t="n">
        <v>45900</v>
      </c>
      <c r="B677" t="inlineStr">
        <is>
          <t>CZ</t>
        </is>
      </c>
      <c r="C677" t="inlineStr">
        <is>
          <t>PL_PREM</t>
        </is>
      </c>
      <c r="D677" t="inlineStr">
        <is>
          <t>1-29</t>
        </is>
      </c>
      <c r="E677" t="n">
        <v>1</v>
      </c>
      <c r="F677" t="n">
        <v>3</v>
      </c>
      <c r="G677" t="n">
        <v>604489.1</v>
      </c>
      <c r="H677">
        <f>IFERROR(VLOOKUP(C677,Lookups!$A$3:$C$7,3,FALSE),"UNMAPPED")</f>
        <v/>
      </c>
    </row>
    <row r="678">
      <c r="A678" s="5" t="n">
        <v>45900</v>
      </c>
      <c r="B678" t="inlineStr">
        <is>
          <t>CZ</t>
        </is>
      </c>
      <c r="C678" t="inlineStr">
        <is>
          <t>PL_PREM</t>
        </is>
      </c>
      <c r="D678" t="inlineStr">
        <is>
          <t>30-59</t>
        </is>
      </c>
      <c r="E678" t="n">
        <v>30</v>
      </c>
      <c r="F678" t="n">
        <v>2</v>
      </c>
      <c r="G678" t="n">
        <v>486939.92</v>
      </c>
      <c r="H678">
        <f>IFERROR(VLOOKUP(C678,Lookups!$A$3:$C$7,3,FALSE),"UNMAPPED")</f>
        <v/>
      </c>
    </row>
    <row r="679">
      <c r="A679" s="5" t="n">
        <v>45900</v>
      </c>
      <c r="B679" t="inlineStr">
        <is>
          <t>CZ</t>
        </is>
      </c>
      <c r="C679" t="inlineStr">
        <is>
          <t>PL_PREM</t>
        </is>
      </c>
      <c r="D679" t="inlineStr">
        <is>
          <t>60-89</t>
        </is>
      </c>
      <c r="E679" t="n">
        <v>60</v>
      </c>
      <c r="F679" t="n">
        <v>5</v>
      </c>
      <c r="G679" t="n">
        <v>1258474.9</v>
      </c>
      <c r="H679">
        <f>IFERROR(VLOOKUP(C679,Lookups!$A$3:$C$7,3,FALSE),"UNMAPPED")</f>
        <v/>
      </c>
    </row>
    <row r="680">
      <c r="A680" s="5" t="n">
        <v>45900</v>
      </c>
      <c r="B680" t="inlineStr">
        <is>
          <t>CZ</t>
        </is>
      </c>
      <c r="C680" t="inlineStr">
        <is>
          <t>PL_PREM</t>
        </is>
      </c>
      <c r="D680" t="inlineStr">
        <is>
          <t>90-179</t>
        </is>
      </c>
      <c r="E680" t="n">
        <v>90</v>
      </c>
      <c r="F680" t="n">
        <v>4</v>
      </c>
      <c r="G680" t="n">
        <v>1249145.67</v>
      </c>
      <c r="H680">
        <f>IFERROR(VLOOKUP(C680,Lookups!$A$3:$C$7,3,FALSE),"UNMAPPED")</f>
        <v/>
      </c>
    </row>
    <row r="681">
      <c r="A681" s="5" t="n">
        <v>45900</v>
      </c>
      <c r="B681" t="inlineStr">
        <is>
          <t>CZ</t>
        </is>
      </c>
      <c r="C681" t="inlineStr">
        <is>
          <t>PL_STD</t>
        </is>
      </c>
      <c r="D681" t="inlineStr">
        <is>
          <t>Current</t>
        </is>
      </c>
      <c r="E681" t="n">
        <v>0</v>
      </c>
      <c r="F681" t="n">
        <v>838</v>
      </c>
      <c r="G681" t="n">
        <v>59113121.35</v>
      </c>
      <c r="H681">
        <f>IFERROR(VLOOKUP(C681,Lookups!$A$3:$C$7,3,FALSE),"UNMAPPED")</f>
        <v/>
      </c>
    </row>
    <row r="682">
      <c r="A682" s="5" t="n">
        <v>45900</v>
      </c>
      <c r="B682" t="inlineStr">
        <is>
          <t>CZ</t>
        </is>
      </c>
      <c r="C682" t="inlineStr">
        <is>
          <t>PL_STD</t>
        </is>
      </c>
      <c r="D682" t="inlineStr">
        <is>
          <t>1-29</t>
        </is>
      </c>
      <c r="E682" t="n">
        <v>1</v>
      </c>
      <c r="F682" t="n">
        <v>10</v>
      </c>
      <c r="G682" t="n">
        <v>727979.8100000001</v>
      </c>
      <c r="H682">
        <f>IFERROR(VLOOKUP(C682,Lookups!$A$3:$C$7,3,FALSE),"UNMAPPED")</f>
        <v/>
      </c>
    </row>
    <row r="683">
      <c r="A683" s="5" t="n">
        <v>45900</v>
      </c>
      <c r="B683" t="inlineStr">
        <is>
          <t>CZ</t>
        </is>
      </c>
      <c r="C683" t="inlineStr">
        <is>
          <t>PL_STD</t>
        </is>
      </c>
      <c r="D683" t="inlineStr">
        <is>
          <t>30-59</t>
        </is>
      </c>
      <c r="E683" t="n">
        <v>30</v>
      </c>
      <c r="F683" t="n">
        <v>9</v>
      </c>
      <c r="G683" t="n">
        <v>708424.53</v>
      </c>
      <c r="H683">
        <f>IFERROR(VLOOKUP(C683,Lookups!$A$3:$C$7,3,FALSE),"UNMAPPED")</f>
        <v/>
      </c>
    </row>
    <row r="684">
      <c r="A684" s="5" t="n">
        <v>45900</v>
      </c>
      <c r="B684" t="inlineStr">
        <is>
          <t>CZ</t>
        </is>
      </c>
      <c r="C684" t="inlineStr">
        <is>
          <t>PL_STD</t>
        </is>
      </c>
      <c r="D684" t="inlineStr">
        <is>
          <t>60-89</t>
        </is>
      </c>
      <c r="E684" t="n">
        <v>60</v>
      </c>
      <c r="F684" t="n">
        <v>5</v>
      </c>
      <c r="G684" t="n">
        <v>360641.15</v>
      </c>
      <c r="H684">
        <f>IFERROR(VLOOKUP(C684,Lookups!$A$3:$C$7,3,FALSE),"UNMAPPED")</f>
        <v/>
      </c>
    </row>
    <row r="685">
      <c r="A685" s="5" t="n">
        <v>45900</v>
      </c>
      <c r="B685" t="inlineStr">
        <is>
          <t>CZ</t>
        </is>
      </c>
      <c r="C685" t="inlineStr">
        <is>
          <t>PL_STD</t>
        </is>
      </c>
      <c r="D685" t="inlineStr">
        <is>
          <t>90-179</t>
        </is>
      </c>
      <c r="E685" t="n">
        <v>90</v>
      </c>
      <c r="F685" t="n">
        <v>5</v>
      </c>
      <c r="G685" t="n">
        <v>324048.53</v>
      </c>
      <c r="H685">
        <f>IFERROR(VLOOKUP(C685,Lookups!$A$3:$C$7,3,FALSE),"UNMAPPED")</f>
        <v/>
      </c>
    </row>
    <row r="686">
      <c r="A686" s="5" t="n">
        <v>45900</v>
      </c>
      <c r="B686" t="inlineStr">
        <is>
          <t>PL</t>
        </is>
      </c>
      <c r="C686" t="inlineStr">
        <is>
          <t>CC_CLASSIC</t>
        </is>
      </c>
      <c r="D686" t="inlineStr">
        <is>
          <t>Current</t>
        </is>
      </c>
      <c r="E686" t="n">
        <v>0</v>
      </c>
      <c r="F686" t="n">
        <v>1602</v>
      </c>
      <c r="G686" t="n">
        <v>4504438.1</v>
      </c>
      <c r="H686">
        <f>IFERROR(VLOOKUP(C686,Lookups!$A$3:$C$7,3,FALSE),"UNMAPPED")</f>
        <v/>
      </c>
    </row>
    <row r="687">
      <c r="A687" s="5" t="n">
        <v>45900</v>
      </c>
      <c r="B687" t="inlineStr">
        <is>
          <t>PL</t>
        </is>
      </c>
      <c r="C687" t="inlineStr">
        <is>
          <t>CC_CLASSIC</t>
        </is>
      </c>
      <c r="D687" t="inlineStr">
        <is>
          <t>1-29</t>
        </is>
      </c>
      <c r="E687" t="n">
        <v>1</v>
      </c>
      <c r="F687" t="n">
        <v>22</v>
      </c>
      <c r="G687" t="n">
        <v>64400.97</v>
      </c>
      <c r="H687">
        <f>IFERROR(VLOOKUP(C687,Lookups!$A$3:$C$7,3,FALSE),"UNMAPPED")</f>
        <v/>
      </c>
    </row>
    <row r="688">
      <c r="A688" s="5" t="n">
        <v>45900</v>
      </c>
      <c r="B688" t="inlineStr">
        <is>
          <t>PL</t>
        </is>
      </c>
      <c r="C688" t="inlineStr">
        <is>
          <t>CC_CLASSIC</t>
        </is>
      </c>
      <c r="D688" t="inlineStr">
        <is>
          <t>30-59</t>
        </is>
      </c>
      <c r="E688" t="n">
        <v>30</v>
      </c>
      <c r="F688" t="n">
        <v>19</v>
      </c>
      <c r="G688" t="n">
        <v>57109.89</v>
      </c>
      <c r="H688">
        <f>IFERROR(VLOOKUP(C688,Lookups!$A$3:$C$7,3,FALSE),"UNMAPPED")</f>
        <v/>
      </c>
    </row>
    <row r="689">
      <c r="A689" s="5" t="n">
        <v>45900</v>
      </c>
      <c r="B689" t="inlineStr">
        <is>
          <t>PL</t>
        </is>
      </c>
      <c r="C689" t="inlineStr">
        <is>
          <t>CC_CLASSIC</t>
        </is>
      </c>
      <c r="D689" t="inlineStr">
        <is>
          <t>60-89</t>
        </is>
      </c>
      <c r="E689" t="n">
        <v>60</v>
      </c>
      <c r="F689" t="n">
        <v>7</v>
      </c>
      <c r="G689" t="n">
        <v>38016.79</v>
      </c>
      <c r="H689">
        <f>IFERROR(VLOOKUP(C689,Lookups!$A$3:$C$7,3,FALSE),"UNMAPPED")</f>
        <v/>
      </c>
    </row>
    <row r="690">
      <c r="A690" s="5" t="n">
        <v>45900</v>
      </c>
      <c r="B690" t="inlineStr">
        <is>
          <t>PL</t>
        </is>
      </c>
      <c r="C690" t="inlineStr">
        <is>
          <t>CC_CLASSIC</t>
        </is>
      </c>
      <c r="D690" t="inlineStr">
        <is>
          <t>90-179</t>
        </is>
      </c>
      <c r="E690" t="n">
        <v>90</v>
      </c>
      <c r="F690" t="n">
        <v>20</v>
      </c>
      <c r="G690" t="n">
        <v>52926.39</v>
      </c>
      <c r="H690">
        <f>IFERROR(VLOOKUP(C690,Lookups!$A$3:$C$7,3,FALSE),"UNMAPPED")</f>
        <v/>
      </c>
    </row>
    <row r="691">
      <c r="A691" s="5" t="n">
        <v>45900</v>
      </c>
      <c r="B691" t="inlineStr">
        <is>
          <t>PL</t>
        </is>
      </c>
      <c r="C691" t="inlineStr">
        <is>
          <t>CC_CONSOL</t>
        </is>
      </c>
      <c r="D691" t="inlineStr">
        <is>
          <t>Current</t>
        </is>
      </c>
      <c r="E691" t="n">
        <v>0</v>
      </c>
      <c r="F691" t="n">
        <v>89</v>
      </c>
      <c r="G691" t="n">
        <v>2522006.79</v>
      </c>
      <c r="H691">
        <f>IFERROR(VLOOKUP(C691,Lookups!$A$3:$C$7,3,FALSE),"UNMAPPED")</f>
        <v/>
      </c>
    </row>
    <row r="692">
      <c r="A692" s="5" t="n">
        <v>45900</v>
      </c>
      <c r="B692" t="inlineStr">
        <is>
          <t>PL</t>
        </is>
      </c>
      <c r="C692" t="inlineStr">
        <is>
          <t>CC_CONSOL</t>
        </is>
      </c>
      <c r="D692" t="inlineStr">
        <is>
          <t>1-29</t>
        </is>
      </c>
      <c r="E692" t="n">
        <v>1</v>
      </c>
      <c r="F692" t="n">
        <v>3</v>
      </c>
      <c r="G692" t="n">
        <v>90807.87</v>
      </c>
      <c r="H692">
        <f>IFERROR(VLOOKUP(C692,Lookups!$A$3:$C$7,3,FALSE),"UNMAPPED")</f>
        <v/>
      </c>
    </row>
    <row r="693">
      <c r="A693" s="5" t="n">
        <v>45900</v>
      </c>
      <c r="B693" t="inlineStr">
        <is>
          <t>PL</t>
        </is>
      </c>
      <c r="C693" t="inlineStr">
        <is>
          <t>CC_CONSOL</t>
        </is>
      </c>
      <c r="D693" t="inlineStr">
        <is>
          <t>30-59</t>
        </is>
      </c>
      <c r="E693" t="n">
        <v>30</v>
      </c>
      <c r="F693" t="n">
        <v>2</v>
      </c>
      <c r="G693" t="n">
        <v>51999.64</v>
      </c>
      <c r="H693">
        <f>IFERROR(VLOOKUP(C693,Lookups!$A$3:$C$7,3,FALSE),"UNMAPPED")</f>
        <v/>
      </c>
    </row>
    <row r="694">
      <c r="A694" s="5" t="n">
        <v>45900</v>
      </c>
      <c r="B694" t="inlineStr">
        <is>
          <t>PL</t>
        </is>
      </c>
      <c r="C694" t="inlineStr">
        <is>
          <t>CC_GOLD</t>
        </is>
      </c>
      <c r="D694" t="inlineStr">
        <is>
          <t>Current</t>
        </is>
      </c>
      <c r="E694" t="n">
        <v>0</v>
      </c>
      <c r="F694" t="n">
        <v>475</v>
      </c>
      <c r="G694" t="n">
        <v>4902593.17</v>
      </c>
      <c r="H694">
        <f>IFERROR(VLOOKUP(C694,Lookups!$A$3:$C$7,3,FALSE),"UNMAPPED")</f>
        <v/>
      </c>
    </row>
    <row r="695">
      <c r="A695" s="5" t="n">
        <v>45900</v>
      </c>
      <c r="B695" t="inlineStr">
        <is>
          <t>PL</t>
        </is>
      </c>
      <c r="C695" t="inlineStr">
        <is>
          <t>CC_GOLD</t>
        </is>
      </c>
      <c r="D695" t="inlineStr">
        <is>
          <t>1-29</t>
        </is>
      </c>
      <c r="E695" t="n">
        <v>1</v>
      </c>
      <c r="F695" t="n">
        <v>6</v>
      </c>
      <c r="G695" t="n">
        <v>56448.87</v>
      </c>
      <c r="H695">
        <f>IFERROR(VLOOKUP(C695,Lookups!$A$3:$C$7,3,FALSE),"UNMAPPED")</f>
        <v/>
      </c>
    </row>
    <row r="696">
      <c r="A696" s="5" t="n">
        <v>45900</v>
      </c>
      <c r="B696" t="inlineStr">
        <is>
          <t>PL</t>
        </is>
      </c>
      <c r="C696" t="inlineStr">
        <is>
          <t>CC_GOLD</t>
        </is>
      </c>
      <c r="D696" t="inlineStr">
        <is>
          <t>30-59</t>
        </is>
      </c>
      <c r="E696" t="n">
        <v>30</v>
      </c>
      <c r="F696" t="n">
        <v>7</v>
      </c>
      <c r="G696" t="n">
        <v>92399.67999999999</v>
      </c>
      <c r="H696">
        <f>IFERROR(VLOOKUP(C696,Lookups!$A$3:$C$7,3,FALSE),"UNMAPPED")</f>
        <v/>
      </c>
    </row>
    <row r="697">
      <c r="A697" s="5" t="n">
        <v>45900</v>
      </c>
      <c r="B697" t="inlineStr">
        <is>
          <t>PL</t>
        </is>
      </c>
      <c r="C697" t="inlineStr">
        <is>
          <t>CC_GOLD</t>
        </is>
      </c>
      <c r="D697" t="inlineStr">
        <is>
          <t>60-89</t>
        </is>
      </c>
      <c r="E697" t="n">
        <v>60</v>
      </c>
      <c r="F697" t="n">
        <v>3</v>
      </c>
      <c r="G697" t="n">
        <v>25169.46</v>
      </c>
      <c r="H697">
        <f>IFERROR(VLOOKUP(C697,Lookups!$A$3:$C$7,3,FALSE),"UNMAPPED")</f>
        <v/>
      </c>
    </row>
    <row r="698">
      <c r="A698" s="5" t="n">
        <v>45900</v>
      </c>
      <c r="B698" t="inlineStr">
        <is>
          <t>PL</t>
        </is>
      </c>
      <c r="C698" t="inlineStr">
        <is>
          <t>CC_GOLD</t>
        </is>
      </c>
      <c r="D698" t="inlineStr">
        <is>
          <t>90-179</t>
        </is>
      </c>
      <c r="E698" t="n">
        <v>90</v>
      </c>
      <c r="F698" t="n">
        <v>5</v>
      </c>
      <c r="G698" t="n">
        <v>71977.5</v>
      </c>
      <c r="H698">
        <f>IFERROR(VLOOKUP(C698,Lookups!$A$3:$C$7,3,FALSE),"UNMAPPED")</f>
        <v/>
      </c>
    </row>
    <row r="699">
      <c r="A699" s="5" t="n">
        <v>45900</v>
      </c>
      <c r="B699" t="inlineStr">
        <is>
          <t>PL</t>
        </is>
      </c>
      <c r="C699" t="inlineStr">
        <is>
          <t>PL_PREM</t>
        </is>
      </c>
      <c r="D699" t="inlineStr">
        <is>
          <t>Current</t>
        </is>
      </c>
      <c r="E699" t="n">
        <v>0</v>
      </c>
      <c r="F699" t="n">
        <v>492</v>
      </c>
      <c r="G699" t="n">
        <v>20335694.77</v>
      </c>
      <c r="H699">
        <f>IFERROR(VLOOKUP(C699,Lookups!$A$3:$C$7,3,FALSE),"UNMAPPED")</f>
        <v/>
      </c>
    </row>
    <row r="700">
      <c r="A700" s="5" t="n">
        <v>45900</v>
      </c>
      <c r="B700" t="inlineStr">
        <is>
          <t>PL</t>
        </is>
      </c>
      <c r="C700" t="inlineStr">
        <is>
          <t>PL_PREM</t>
        </is>
      </c>
      <c r="D700" t="inlineStr">
        <is>
          <t>1-29</t>
        </is>
      </c>
      <c r="E700" t="n">
        <v>1</v>
      </c>
      <c r="F700" t="n">
        <v>7</v>
      </c>
      <c r="G700" t="n">
        <v>355741.2</v>
      </c>
      <c r="H700">
        <f>IFERROR(VLOOKUP(C700,Lookups!$A$3:$C$7,3,FALSE),"UNMAPPED")</f>
        <v/>
      </c>
    </row>
    <row r="701">
      <c r="A701" s="5" t="n">
        <v>45900</v>
      </c>
      <c r="B701" t="inlineStr">
        <is>
          <t>PL</t>
        </is>
      </c>
      <c r="C701" t="inlineStr">
        <is>
          <t>PL_PREM</t>
        </is>
      </c>
      <c r="D701" t="inlineStr">
        <is>
          <t>30-59</t>
        </is>
      </c>
      <c r="E701" t="n">
        <v>30</v>
      </c>
      <c r="F701" t="n">
        <v>2</v>
      </c>
      <c r="G701" t="n">
        <v>108427.18</v>
      </c>
      <c r="H701">
        <f>IFERROR(VLOOKUP(C701,Lookups!$A$3:$C$7,3,FALSE),"UNMAPPED")</f>
        <v/>
      </c>
    </row>
    <row r="702">
      <c r="A702" s="5" t="n">
        <v>45900</v>
      </c>
      <c r="B702" t="inlineStr">
        <is>
          <t>PL</t>
        </is>
      </c>
      <c r="C702" t="inlineStr">
        <is>
          <t>PL_PREM</t>
        </is>
      </c>
      <c r="D702" t="inlineStr">
        <is>
          <t>60-89</t>
        </is>
      </c>
      <c r="E702" t="n">
        <v>60</v>
      </c>
      <c r="F702" t="n">
        <v>6</v>
      </c>
      <c r="G702" t="n">
        <v>189753.1</v>
      </c>
      <c r="H702">
        <f>IFERROR(VLOOKUP(C702,Lookups!$A$3:$C$7,3,FALSE),"UNMAPPED")</f>
        <v/>
      </c>
    </row>
    <row r="703">
      <c r="A703" s="5" t="n">
        <v>45900</v>
      </c>
      <c r="B703" t="inlineStr">
        <is>
          <t>PL</t>
        </is>
      </c>
      <c r="C703" t="inlineStr">
        <is>
          <t>PL_PREM</t>
        </is>
      </c>
      <c r="D703" t="inlineStr">
        <is>
          <t>90-179</t>
        </is>
      </c>
      <c r="E703" t="n">
        <v>90</v>
      </c>
      <c r="F703" t="n">
        <v>8</v>
      </c>
      <c r="G703" t="n">
        <v>397037.97</v>
      </c>
      <c r="H703">
        <f>IFERROR(VLOOKUP(C703,Lookups!$A$3:$C$7,3,FALSE),"UNMAPPED")</f>
        <v/>
      </c>
    </row>
    <row r="704">
      <c r="A704" s="5" t="n">
        <v>45900</v>
      </c>
      <c r="B704" t="inlineStr">
        <is>
          <t>PL</t>
        </is>
      </c>
      <c r="C704" t="inlineStr">
        <is>
          <t>PL_STD</t>
        </is>
      </c>
      <c r="D704" t="inlineStr">
        <is>
          <t>Current</t>
        </is>
      </c>
      <c r="E704" t="n">
        <v>0</v>
      </c>
      <c r="F704" t="n">
        <v>1112</v>
      </c>
      <c r="G704" t="n">
        <v>12915518</v>
      </c>
      <c r="H704">
        <f>IFERROR(VLOOKUP(C704,Lookups!$A$3:$C$7,3,FALSE),"UNMAPPED")</f>
        <v/>
      </c>
    </row>
    <row r="705">
      <c r="A705" s="5" t="n">
        <v>45900</v>
      </c>
      <c r="B705" t="inlineStr">
        <is>
          <t>PL</t>
        </is>
      </c>
      <c r="C705" t="inlineStr">
        <is>
          <t>PL_STD</t>
        </is>
      </c>
      <c r="D705" t="inlineStr">
        <is>
          <t>1-29</t>
        </is>
      </c>
      <c r="E705" t="n">
        <v>1</v>
      </c>
      <c r="F705" t="n">
        <v>19</v>
      </c>
      <c r="G705" t="n">
        <v>241397.89</v>
      </c>
      <c r="H705">
        <f>IFERROR(VLOOKUP(C705,Lookups!$A$3:$C$7,3,FALSE),"UNMAPPED")</f>
        <v/>
      </c>
    </row>
    <row r="706">
      <c r="A706" s="5" t="n">
        <v>45900</v>
      </c>
      <c r="B706" t="inlineStr">
        <is>
          <t>PL</t>
        </is>
      </c>
      <c r="C706" t="inlineStr">
        <is>
          <t>PL_STD</t>
        </is>
      </c>
      <c r="D706" t="inlineStr">
        <is>
          <t>30-59</t>
        </is>
      </c>
      <c r="E706" t="n">
        <v>30</v>
      </c>
      <c r="F706" t="n">
        <v>20</v>
      </c>
      <c r="G706" t="n">
        <v>263940.16</v>
      </c>
      <c r="H706">
        <f>IFERROR(VLOOKUP(C706,Lookups!$A$3:$C$7,3,FALSE),"UNMAPPED")</f>
        <v/>
      </c>
    </row>
    <row r="707">
      <c r="A707" s="5" t="n">
        <v>45900</v>
      </c>
      <c r="B707" t="inlineStr">
        <is>
          <t>PL</t>
        </is>
      </c>
      <c r="C707" t="inlineStr">
        <is>
          <t>PL_STD</t>
        </is>
      </c>
      <c r="D707" t="inlineStr">
        <is>
          <t>60-89</t>
        </is>
      </c>
      <c r="E707" t="n">
        <v>60</v>
      </c>
      <c r="F707" t="n">
        <v>2</v>
      </c>
      <c r="G707" t="n">
        <v>31945.13</v>
      </c>
      <c r="H707">
        <f>IFERROR(VLOOKUP(C707,Lookups!$A$3:$C$7,3,FALSE),"UNMAPPED")</f>
        <v/>
      </c>
    </row>
    <row r="708">
      <c r="A708" s="5" t="n">
        <v>45900</v>
      </c>
      <c r="B708" t="inlineStr">
        <is>
          <t>PL</t>
        </is>
      </c>
      <c r="C708" t="inlineStr">
        <is>
          <t>PL_STD</t>
        </is>
      </c>
      <c r="D708" t="inlineStr">
        <is>
          <t>90-179</t>
        </is>
      </c>
      <c r="E708" t="n">
        <v>90</v>
      </c>
      <c r="F708" t="n">
        <v>16</v>
      </c>
      <c r="G708" t="n">
        <v>193695.12</v>
      </c>
      <c r="H708">
        <f>IFERROR(VLOOKUP(C708,Lookups!$A$3:$C$7,3,FALSE),"UNMAPPED")</f>
        <v/>
      </c>
    </row>
    <row r="709">
      <c r="A709" s="5" t="n">
        <v>45900</v>
      </c>
      <c r="B709" t="inlineStr">
        <is>
          <t>RO</t>
        </is>
      </c>
      <c r="C709" t="inlineStr">
        <is>
          <t>CC_CLASSIC</t>
        </is>
      </c>
      <c r="D709" t="inlineStr">
        <is>
          <t>Current</t>
        </is>
      </c>
      <c r="E709" t="n">
        <v>0</v>
      </c>
      <c r="F709" t="n">
        <v>880</v>
      </c>
      <c r="G709" t="n">
        <v>2955515.83</v>
      </c>
      <c r="H709">
        <f>IFERROR(VLOOKUP(C709,Lookups!$A$3:$C$7,3,FALSE),"UNMAPPED")</f>
        <v/>
      </c>
    </row>
    <row r="710">
      <c r="A710" s="5" t="n">
        <v>45900</v>
      </c>
      <c r="B710" t="inlineStr">
        <is>
          <t>RO</t>
        </is>
      </c>
      <c r="C710" t="inlineStr">
        <is>
          <t>CC_CLASSIC</t>
        </is>
      </c>
      <c r="D710" t="inlineStr">
        <is>
          <t>1-29</t>
        </is>
      </c>
      <c r="E710" t="n">
        <v>1</v>
      </c>
      <c r="F710" t="n">
        <v>16</v>
      </c>
      <c r="G710" t="n">
        <v>58908.87</v>
      </c>
      <c r="H710">
        <f>IFERROR(VLOOKUP(C710,Lookups!$A$3:$C$7,3,FALSE),"UNMAPPED")</f>
        <v/>
      </c>
    </row>
    <row r="711">
      <c r="A711" s="5" t="n">
        <v>45900</v>
      </c>
      <c r="B711" t="inlineStr">
        <is>
          <t>RO</t>
        </is>
      </c>
      <c r="C711" t="inlineStr">
        <is>
          <t>CC_CLASSIC</t>
        </is>
      </c>
      <c r="D711" t="inlineStr">
        <is>
          <t>30-59</t>
        </is>
      </c>
      <c r="E711" t="n">
        <v>30</v>
      </c>
      <c r="F711" t="n">
        <v>14</v>
      </c>
      <c r="G711" t="n">
        <v>34818.26</v>
      </c>
      <c r="H711">
        <f>IFERROR(VLOOKUP(C711,Lookups!$A$3:$C$7,3,FALSE),"UNMAPPED")</f>
        <v/>
      </c>
    </row>
    <row r="712">
      <c r="A712" s="5" t="n">
        <v>45900</v>
      </c>
      <c r="B712" t="inlineStr">
        <is>
          <t>RO</t>
        </is>
      </c>
      <c r="C712" t="inlineStr">
        <is>
          <t>CC_CLASSIC</t>
        </is>
      </c>
      <c r="D712" t="inlineStr">
        <is>
          <t>60-89</t>
        </is>
      </c>
      <c r="E712" t="n">
        <v>60</v>
      </c>
      <c r="F712" t="n">
        <v>7</v>
      </c>
      <c r="G712" t="n">
        <v>17749.39</v>
      </c>
      <c r="H712">
        <f>IFERROR(VLOOKUP(C712,Lookups!$A$3:$C$7,3,FALSE),"UNMAPPED")</f>
        <v/>
      </c>
    </row>
    <row r="713">
      <c r="A713" s="5" t="n">
        <v>45900</v>
      </c>
      <c r="B713" t="inlineStr">
        <is>
          <t>RO</t>
        </is>
      </c>
      <c r="C713" t="inlineStr">
        <is>
          <t>CC_CLASSIC</t>
        </is>
      </c>
      <c r="D713" t="inlineStr">
        <is>
          <t>90-179</t>
        </is>
      </c>
      <c r="E713" t="n">
        <v>90</v>
      </c>
      <c r="F713" t="n">
        <v>12</v>
      </c>
      <c r="G713" t="n">
        <v>35641.67</v>
      </c>
      <c r="H713">
        <f>IFERROR(VLOOKUP(C713,Lookups!$A$3:$C$7,3,FALSE),"UNMAPPED")</f>
        <v/>
      </c>
    </row>
    <row r="714">
      <c r="A714" s="5" t="n">
        <v>45900</v>
      </c>
      <c r="B714" t="inlineStr">
        <is>
          <t>RO</t>
        </is>
      </c>
      <c r="C714" t="inlineStr">
        <is>
          <t>CC_CONSOL</t>
        </is>
      </c>
      <c r="D714" t="inlineStr">
        <is>
          <t>Current</t>
        </is>
      </c>
      <c r="E714" t="n">
        <v>0</v>
      </c>
      <c r="F714" t="n">
        <v>53</v>
      </c>
      <c r="G714" t="n">
        <v>1848868.69</v>
      </c>
      <c r="H714">
        <f>IFERROR(VLOOKUP(C714,Lookups!$A$3:$C$7,3,FALSE),"UNMAPPED")</f>
        <v/>
      </c>
    </row>
    <row r="715">
      <c r="A715" s="5" t="n">
        <v>45900</v>
      </c>
      <c r="B715" t="inlineStr">
        <is>
          <t>RO</t>
        </is>
      </c>
      <c r="C715" t="inlineStr">
        <is>
          <t>CC_CONSOL</t>
        </is>
      </c>
      <c r="D715" t="inlineStr">
        <is>
          <t>1-29</t>
        </is>
      </c>
      <c r="E715" t="n">
        <v>1</v>
      </c>
      <c r="F715" t="n">
        <v>1</v>
      </c>
      <c r="G715" t="n">
        <v>39556.09</v>
      </c>
      <c r="H715">
        <f>IFERROR(VLOOKUP(C715,Lookups!$A$3:$C$7,3,FALSE),"UNMAPPED")</f>
        <v/>
      </c>
    </row>
    <row r="716">
      <c r="A716" s="5" t="n">
        <v>45900</v>
      </c>
      <c r="B716" t="inlineStr">
        <is>
          <t>RO</t>
        </is>
      </c>
      <c r="C716" t="inlineStr">
        <is>
          <t>CC_CONSOL</t>
        </is>
      </c>
      <c r="D716" t="inlineStr">
        <is>
          <t>30-59</t>
        </is>
      </c>
      <c r="E716" t="n">
        <v>30</v>
      </c>
      <c r="F716" t="n">
        <v>1</v>
      </c>
      <c r="G716" t="n">
        <v>52049.81</v>
      </c>
      <c r="H716">
        <f>IFERROR(VLOOKUP(C716,Lookups!$A$3:$C$7,3,FALSE),"UNMAPPED")</f>
        <v/>
      </c>
    </row>
    <row r="717">
      <c r="A717" s="5" t="n">
        <v>45900</v>
      </c>
      <c r="B717" t="inlineStr">
        <is>
          <t>RO</t>
        </is>
      </c>
      <c r="C717" t="inlineStr">
        <is>
          <t>CC_CONSOL</t>
        </is>
      </c>
      <c r="D717" t="inlineStr">
        <is>
          <t>60-89</t>
        </is>
      </c>
      <c r="E717" t="n">
        <v>60</v>
      </c>
      <c r="F717" t="n">
        <v>1</v>
      </c>
      <c r="G717" t="n">
        <v>61774.39</v>
      </c>
      <c r="H717">
        <f>IFERROR(VLOOKUP(C717,Lookups!$A$3:$C$7,3,FALSE),"UNMAPPED")</f>
        <v/>
      </c>
    </row>
    <row r="718">
      <c r="A718" s="5" t="n">
        <v>45900</v>
      </c>
      <c r="B718" t="inlineStr">
        <is>
          <t>RO</t>
        </is>
      </c>
      <c r="C718" t="inlineStr">
        <is>
          <t>CC_GOLD</t>
        </is>
      </c>
      <c r="D718" t="inlineStr">
        <is>
          <t>Current</t>
        </is>
      </c>
      <c r="E718" t="n">
        <v>0</v>
      </c>
      <c r="F718" t="n">
        <v>238</v>
      </c>
      <c r="G718" t="n">
        <v>2808267.9</v>
      </c>
      <c r="H718">
        <f>IFERROR(VLOOKUP(C718,Lookups!$A$3:$C$7,3,FALSE),"UNMAPPED")</f>
        <v/>
      </c>
    </row>
    <row r="719">
      <c r="A719" s="5" t="n">
        <v>45900</v>
      </c>
      <c r="B719" t="inlineStr">
        <is>
          <t>RO</t>
        </is>
      </c>
      <c r="C719" t="inlineStr">
        <is>
          <t>CC_GOLD</t>
        </is>
      </c>
      <c r="D719" t="inlineStr">
        <is>
          <t>1-29</t>
        </is>
      </c>
      <c r="E719" t="n">
        <v>1</v>
      </c>
      <c r="F719" t="n">
        <v>6</v>
      </c>
      <c r="G719" t="n">
        <v>52551.09</v>
      </c>
      <c r="H719">
        <f>IFERROR(VLOOKUP(C719,Lookups!$A$3:$C$7,3,FALSE),"UNMAPPED")</f>
        <v/>
      </c>
    </row>
    <row r="720">
      <c r="A720" s="5" t="n">
        <v>45900</v>
      </c>
      <c r="B720" t="inlineStr">
        <is>
          <t>RO</t>
        </is>
      </c>
      <c r="C720" t="inlineStr">
        <is>
          <t>CC_GOLD</t>
        </is>
      </c>
      <c r="D720" t="inlineStr">
        <is>
          <t>30-59</t>
        </is>
      </c>
      <c r="E720" t="n">
        <v>30</v>
      </c>
      <c r="F720" t="n">
        <v>1</v>
      </c>
      <c r="G720" t="n">
        <v>9476.549999999999</v>
      </c>
      <c r="H720">
        <f>IFERROR(VLOOKUP(C720,Lookups!$A$3:$C$7,3,FALSE),"UNMAPPED")</f>
        <v/>
      </c>
    </row>
    <row r="721">
      <c r="A721" s="5" t="n">
        <v>45900</v>
      </c>
      <c r="B721" t="inlineStr">
        <is>
          <t>RO</t>
        </is>
      </c>
      <c r="C721" t="inlineStr">
        <is>
          <t>CC_GOLD</t>
        </is>
      </c>
      <c r="D721" t="inlineStr">
        <is>
          <t>60-89</t>
        </is>
      </c>
      <c r="E721" t="n">
        <v>60</v>
      </c>
      <c r="F721" t="n">
        <v>4</v>
      </c>
      <c r="G721" t="n">
        <v>69460.19</v>
      </c>
      <c r="H721">
        <f>IFERROR(VLOOKUP(C721,Lookups!$A$3:$C$7,3,FALSE),"UNMAPPED")</f>
        <v/>
      </c>
    </row>
    <row r="722">
      <c r="A722" s="5" t="n">
        <v>45900</v>
      </c>
      <c r="B722" t="inlineStr">
        <is>
          <t>RO</t>
        </is>
      </c>
      <c r="C722" t="inlineStr">
        <is>
          <t>CC_GOLD</t>
        </is>
      </c>
      <c r="D722" t="inlineStr">
        <is>
          <t>90-179</t>
        </is>
      </c>
      <c r="E722" t="n">
        <v>90</v>
      </c>
      <c r="F722" t="n">
        <v>5</v>
      </c>
      <c r="G722" t="n">
        <v>80414.06</v>
      </c>
      <c r="H722">
        <f>IFERROR(VLOOKUP(C722,Lookups!$A$3:$C$7,3,FALSE),"UNMAPPED")</f>
        <v/>
      </c>
    </row>
    <row r="723">
      <c r="A723" s="5" t="n">
        <v>45900</v>
      </c>
      <c r="B723" t="inlineStr">
        <is>
          <t>RO</t>
        </is>
      </c>
      <c r="C723" t="inlineStr">
        <is>
          <t>PL_PREM</t>
        </is>
      </c>
      <c r="D723" t="inlineStr">
        <is>
          <t>Current</t>
        </is>
      </c>
      <c r="E723" t="n">
        <v>0</v>
      </c>
      <c r="F723" t="n">
        <v>290</v>
      </c>
      <c r="G723" t="n">
        <v>13488872.16</v>
      </c>
      <c r="H723">
        <f>IFERROR(VLOOKUP(C723,Lookups!$A$3:$C$7,3,FALSE),"UNMAPPED")</f>
        <v/>
      </c>
    </row>
    <row r="724">
      <c r="A724" s="5" t="n">
        <v>45900</v>
      </c>
      <c r="B724" t="inlineStr">
        <is>
          <t>RO</t>
        </is>
      </c>
      <c r="C724" t="inlineStr">
        <is>
          <t>PL_PREM</t>
        </is>
      </c>
      <c r="D724" t="inlineStr">
        <is>
          <t>1-29</t>
        </is>
      </c>
      <c r="E724" t="n">
        <v>1</v>
      </c>
      <c r="F724" t="n">
        <v>6</v>
      </c>
      <c r="G724" t="n">
        <v>385102.9</v>
      </c>
      <c r="H724">
        <f>IFERROR(VLOOKUP(C724,Lookups!$A$3:$C$7,3,FALSE),"UNMAPPED")</f>
        <v/>
      </c>
    </row>
    <row r="725">
      <c r="A725" s="5" t="n">
        <v>45900</v>
      </c>
      <c r="B725" t="inlineStr">
        <is>
          <t>RO</t>
        </is>
      </c>
      <c r="C725" t="inlineStr">
        <is>
          <t>PL_PREM</t>
        </is>
      </c>
      <c r="D725" t="inlineStr">
        <is>
          <t>30-59</t>
        </is>
      </c>
      <c r="E725" t="n">
        <v>30</v>
      </c>
      <c r="F725" t="n">
        <v>3</v>
      </c>
      <c r="G725" t="n">
        <v>97846.64999999999</v>
      </c>
      <c r="H725">
        <f>IFERROR(VLOOKUP(C725,Lookups!$A$3:$C$7,3,FALSE),"UNMAPPED")</f>
        <v/>
      </c>
    </row>
    <row r="726">
      <c r="A726" s="5" t="n">
        <v>45900</v>
      </c>
      <c r="B726" t="inlineStr">
        <is>
          <t>RO</t>
        </is>
      </c>
      <c r="C726" t="inlineStr">
        <is>
          <t>PL_PREM</t>
        </is>
      </c>
      <c r="D726" t="inlineStr">
        <is>
          <t>60-89</t>
        </is>
      </c>
      <c r="E726" t="n">
        <v>60</v>
      </c>
      <c r="F726" t="n">
        <v>5</v>
      </c>
      <c r="G726" t="n">
        <v>333398.84</v>
      </c>
      <c r="H726">
        <f>IFERROR(VLOOKUP(C726,Lookups!$A$3:$C$7,3,FALSE),"UNMAPPED")</f>
        <v/>
      </c>
    </row>
    <row r="727">
      <c r="A727" s="5" t="n">
        <v>45900</v>
      </c>
      <c r="B727" t="inlineStr">
        <is>
          <t>RO</t>
        </is>
      </c>
      <c r="C727" t="inlineStr">
        <is>
          <t>PL_PREM</t>
        </is>
      </c>
      <c r="D727" t="inlineStr">
        <is>
          <t>90-179</t>
        </is>
      </c>
      <c r="E727" t="n">
        <v>90</v>
      </c>
      <c r="F727" t="n">
        <v>2</v>
      </c>
      <c r="G727" t="n">
        <v>39361.36</v>
      </c>
      <c r="H727">
        <f>IFERROR(VLOOKUP(C727,Lookups!$A$3:$C$7,3,FALSE),"UNMAPPED")</f>
        <v/>
      </c>
    </row>
    <row r="728">
      <c r="A728" s="5" t="n">
        <v>45900</v>
      </c>
      <c r="B728" t="inlineStr">
        <is>
          <t>RO</t>
        </is>
      </c>
      <c r="C728" t="inlineStr">
        <is>
          <t>PL_STD</t>
        </is>
      </c>
      <c r="D728" t="inlineStr">
        <is>
          <t>Current</t>
        </is>
      </c>
      <c r="E728" t="n">
        <v>0</v>
      </c>
      <c r="F728" t="n">
        <v>735</v>
      </c>
      <c r="G728" t="n">
        <v>10771300.81</v>
      </c>
      <c r="H728">
        <f>IFERROR(VLOOKUP(C728,Lookups!$A$3:$C$7,3,FALSE),"UNMAPPED")</f>
        <v/>
      </c>
    </row>
    <row r="729">
      <c r="A729" s="5" t="n">
        <v>45900</v>
      </c>
      <c r="B729" t="inlineStr">
        <is>
          <t>RO</t>
        </is>
      </c>
      <c r="C729" t="inlineStr">
        <is>
          <t>PL_STD</t>
        </is>
      </c>
      <c r="D729" t="inlineStr">
        <is>
          <t>1-29</t>
        </is>
      </c>
      <c r="E729" t="n">
        <v>1</v>
      </c>
      <c r="F729" t="n">
        <v>12</v>
      </c>
      <c r="G729" t="n">
        <v>182163.89</v>
      </c>
      <c r="H729">
        <f>IFERROR(VLOOKUP(C729,Lookups!$A$3:$C$7,3,FALSE),"UNMAPPED")</f>
        <v/>
      </c>
    </row>
    <row r="730">
      <c r="A730" s="5" t="n">
        <v>45900</v>
      </c>
      <c r="B730" t="inlineStr">
        <is>
          <t>RO</t>
        </is>
      </c>
      <c r="C730" t="inlineStr">
        <is>
          <t>PL_STD</t>
        </is>
      </c>
      <c r="D730" t="inlineStr">
        <is>
          <t>30-59</t>
        </is>
      </c>
      <c r="E730" t="n">
        <v>30</v>
      </c>
      <c r="F730" t="n">
        <v>11</v>
      </c>
      <c r="G730" t="n">
        <v>147184.73</v>
      </c>
      <c r="H730">
        <f>IFERROR(VLOOKUP(C730,Lookups!$A$3:$C$7,3,FALSE),"UNMAPPED")</f>
        <v/>
      </c>
    </row>
    <row r="731">
      <c r="A731" s="5" t="n">
        <v>45900</v>
      </c>
      <c r="B731" t="inlineStr">
        <is>
          <t>RO</t>
        </is>
      </c>
      <c r="C731" t="inlineStr">
        <is>
          <t>PL_STD</t>
        </is>
      </c>
      <c r="D731" t="inlineStr">
        <is>
          <t>60-89</t>
        </is>
      </c>
      <c r="E731" t="n">
        <v>60</v>
      </c>
      <c r="F731" t="n">
        <v>4</v>
      </c>
      <c r="G731" t="n">
        <v>85242.36</v>
      </c>
      <c r="H731">
        <f>IFERROR(VLOOKUP(C731,Lookups!$A$3:$C$7,3,FALSE),"UNMAPPED")</f>
        <v/>
      </c>
    </row>
    <row r="732">
      <c r="A732" s="5" t="n">
        <v>45900</v>
      </c>
      <c r="B732" t="inlineStr">
        <is>
          <t>RO</t>
        </is>
      </c>
      <c r="C732" t="inlineStr">
        <is>
          <t>PL_STD</t>
        </is>
      </c>
      <c r="D732" t="inlineStr">
        <is>
          <t>90-179</t>
        </is>
      </c>
      <c r="E732" t="n">
        <v>90</v>
      </c>
      <c r="F732" t="n">
        <v>9</v>
      </c>
      <c r="G732" t="n">
        <v>101253.78</v>
      </c>
      <c r="H732">
        <f>IFERROR(VLOOKUP(C732,Lookups!$A$3:$C$7,3,FALSE),"UNMAPPED")</f>
        <v/>
      </c>
    </row>
    <row r="733">
      <c r="A733" s="5" t="n">
        <v>45930</v>
      </c>
      <c r="B733" t="inlineStr">
        <is>
          <t>CZ</t>
        </is>
      </c>
      <c r="C733" t="inlineStr">
        <is>
          <t>CC_CLASSIC</t>
        </is>
      </c>
      <c r="D733" t="inlineStr">
        <is>
          <t>Current</t>
        </is>
      </c>
      <c r="E733" t="n">
        <v>0</v>
      </c>
      <c r="F733" t="n">
        <v>1224</v>
      </c>
      <c r="G733" t="n">
        <v>20424440.07</v>
      </c>
      <c r="H733">
        <f>IFERROR(VLOOKUP(C733,Lookups!$A$3:$C$7,3,FALSE),"UNMAPPED")</f>
        <v/>
      </c>
    </row>
    <row r="734">
      <c r="A734" s="5" t="n">
        <v>45930</v>
      </c>
      <c r="B734" t="inlineStr">
        <is>
          <t>CZ</t>
        </is>
      </c>
      <c r="C734" t="inlineStr">
        <is>
          <t>CC_CLASSIC</t>
        </is>
      </c>
      <c r="D734" t="inlineStr">
        <is>
          <t>1-29</t>
        </is>
      </c>
      <c r="E734" t="n">
        <v>1</v>
      </c>
      <c r="F734" t="n">
        <v>16</v>
      </c>
      <c r="G734" t="n">
        <v>283072.81</v>
      </c>
      <c r="H734">
        <f>IFERROR(VLOOKUP(C734,Lookups!$A$3:$C$7,3,FALSE),"UNMAPPED")</f>
        <v/>
      </c>
    </row>
    <row r="735">
      <c r="A735" s="5" t="n">
        <v>45930</v>
      </c>
      <c r="B735" t="inlineStr">
        <is>
          <t>CZ</t>
        </is>
      </c>
      <c r="C735" t="inlineStr">
        <is>
          <t>CC_CLASSIC</t>
        </is>
      </c>
      <c r="D735" t="inlineStr">
        <is>
          <t>30-59</t>
        </is>
      </c>
      <c r="E735" t="n">
        <v>30</v>
      </c>
      <c r="F735" t="n">
        <v>6</v>
      </c>
      <c r="G735" t="n">
        <v>120756.95</v>
      </c>
      <c r="H735">
        <f>IFERROR(VLOOKUP(C735,Lookups!$A$3:$C$7,3,FALSE),"UNMAPPED")</f>
        <v/>
      </c>
    </row>
    <row r="736">
      <c r="A736" s="5" t="n">
        <v>45930</v>
      </c>
      <c r="B736" t="inlineStr">
        <is>
          <t>CZ</t>
        </is>
      </c>
      <c r="C736" t="inlineStr">
        <is>
          <t>CC_CLASSIC</t>
        </is>
      </c>
      <c r="D736" t="inlineStr">
        <is>
          <t>60-89</t>
        </is>
      </c>
      <c r="E736" t="n">
        <v>60</v>
      </c>
      <c r="F736" t="n">
        <v>9</v>
      </c>
      <c r="G736" t="n">
        <v>186424.28</v>
      </c>
      <c r="H736">
        <f>IFERROR(VLOOKUP(C736,Lookups!$A$3:$C$7,3,FALSE),"UNMAPPED")</f>
        <v/>
      </c>
    </row>
    <row r="737">
      <c r="A737" s="5" t="n">
        <v>45930</v>
      </c>
      <c r="B737" t="inlineStr">
        <is>
          <t>CZ</t>
        </is>
      </c>
      <c r="C737" t="inlineStr">
        <is>
          <t>CC_CLASSIC</t>
        </is>
      </c>
      <c r="D737" t="inlineStr">
        <is>
          <t>90-179</t>
        </is>
      </c>
      <c r="E737" t="n">
        <v>90</v>
      </c>
      <c r="F737" t="n">
        <v>17</v>
      </c>
      <c r="G737" t="n">
        <v>331149.99</v>
      </c>
      <c r="H737">
        <f>IFERROR(VLOOKUP(C737,Lookups!$A$3:$C$7,3,FALSE),"UNMAPPED")</f>
        <v/>
      </c>
    </row>
    <row r="738">
      <c r="A738" s="5" t="n">
        <v>45930</v>
      </c>
      <c r="B738" t="inlineStr">
        <is>
          <t>CZ</t>
        </is>
      </c>
      <c r="C738" t="inlineStr">
        <is>
          <t>CC_CONSOL</t>
        </is>
      </c>
      <c r="D738" t="inlineStr">
        <is>
          <t>Current</t>
        </is>
      </c>
      <c r="E738" t="n">
        <v>0</v>
      </c>
      <c r="F738" t="n">
        <v>88</v>
      </c>
      <c r="G738" t="n">
        <v>13401824.63</v>
      </c>
      <c r="H738">
        <f>IFERROR(VLOOKUP(C738,Lookups!$A$3:$C$7,3,FALSE),"UNMAPPED")</f>
        <v/>
      </c>
    </row>
    <row r="739">
      <c r="A739" s="5" t="n">
        <v>45930</v>
      </c>
      <c r="B739" t="inlineStr">
        <is>
          <t>CZ</t>
        </is>
      </c>
      <c r="C739" t="inlineStr">
        <is>
          <t>CC_CONSOL</t>
        </is>
      </c>
      <c r="D739" t="inlineStr">
        <is>
          <t>30-59</t>
        </is>
      </c>
      <c r="E739" t="n">
        <v>30</v>
      </c>
      <c r="F739" t="n">
        <v>1</v>
      </c>
      <c r="G739" t="n">
        <v>290680.53</v>
      </c>
      <c r="H739">
        <f>IFERROR(VLOOKUP(C739,Lookups!$A$3:$C$7,3,FALSE),"UNMAPPED")</f>
        <v/>
      </c>
    </row>
    <row r="740">
      <c r="A740" s="5" t="n">
        <v>45930</v>
      </c>
      <c r="B740" t="inlineStr">
        <is>
          <t>CZ</t>
        </is>
      </c>
      <c r="C740" t="inlineStr">
        <is>
          <t>CC_GOLD</t>
        </is>
      </c>
      <c r="D740" t="inlineStr">
        <is>
          <t>Current</t>
        </is>
      </c>
      <c r="E740" t="n">
        <v>0</v>
      </c>
      <c r="F740" t="n">
        <v>330</v>
      </c>
      <c r="G740" t="n">
        <v>20118334.75</v>
      </c>
      <c r="H740">
        <f>IFERROR(VLOOKUP(C740,Lookups!$A$3:$C$7,3,FALSE),"UNMAPPED")</f>
        <v/>
      </c>
    </row>
    <row r="741">
      <c r="A741" s="5" t="n">
        <v>45930</v>
      </c>
      <c r="B741" t="inlineStr">
        <is>
          <t>CZ</t>
        </is>
      </c>
      <c r="C741" t="inlineStr">
        <is>
          <t>CC_GOLD</t>
        </is>
      </c>
      <c r="D741" t="inlineStr">
        <is>
          <t>1-29</t>
        </is>
      </c>
      <c r="E741" t="n">
        <v>1</v>
      </c>
      <c r="F741" t="n">
        <v>3</v>
      </c>
      <c r="G741" t="n">
        <v>230901.07</v>
      </c>
      <c r="H741">
        <f>IFERROR(VLOOKUP(C741,Lookups!$A$3:$C$7,3,FALSE),"UNMAPPED")</f>
        <v/>
      </c>
    </row>
    <row r="742">
      <c r="A742" s="5" t="n">
        <v>45930</v>
      </c>
      <c r="B742" t="inlineStr">
        <is>
          <t>CZ</t>
        </is>
      </c>
      <c r="C742" t="inlineStr">
        <is>
          <t>CC_GOLD</t>
        </is>
      </c>
      <c r="D742" t="inlineStr">
        <is>
          <t>60-89</t>
        </is>
      </c>
      <c r="E742" t="n">
        <v>60</v>
      </c>
      <c r="F742" t="n">
        <v>2</v>
      </c>
      <c r="G742" t="n">
        <v>93521.60000000001</v>
      </c>
      <c r="H742">
        <f>IFERROR(VLOOKUP(C742,Lookups!$A$3:$C$7,3,FALSE),"UNMAPPED")</f>
        <v/>
      </c>
    </row>
    <row r="743">
      <c r="A743" s="5" t="n">
        <v>45930</v>
      </c>
      <c r="B743" t="inlineStr">
        <is>
          <t>CZ</t>
        </is>
      </c>
      <c r="C743" t="inlineStr">
        <is>
          <t>CC_GOLD</t>
        </is>
      </c>
      <c r="D743" t="inlineStr">
        <is>
          <t>90-179</t>
        </is>
      </c>
      <c r="E743" t="n">
        <v>90</v>
      </c>
      <c r="F743" t="n">
        <v>8</v>
      </c>
      <c r="G743" t="n">
        <v>432596.07</v>
      </c>
      <c r="H743">
        <f>IFERROR(VLOOKUP(C743,Lookups!$A$3:$C$7,3,FALSE),"UNMAPPED")</f>
        <v/>
      </c>
    </row>
    <row r="744">
      <c r="A744" s="5" t="n">
        <v>45930</v>
      </c>
      <c r="B744" t="inlineStr">
        <is>
          <t>CZ</t>
        </is>
      </c>
      <c r="C744" t="inlineStr">
        <is>
          <t>PL_PREM</t>
        </is>
      </c>
      <c r="D744" t="inlineStr">
        <is>
          <t>Current</t>
        </is>
      </c>
      <c r="E744" t="n">
        <v>0</v>
      </c>
      <c r="F744" t="n">
        <v>333</v>
      </c>
      <c r="G744" t="n">
        <v>77108140.06</v>
      </c>
      <c r="H744">
        <f>IFERROR(VLOOKUP(C744,Lookups!$A$3:$C$7,3,FALSE),"UNMAPPED")</f>
        <v/>
      </c>
    </row>
    <row r="745">
      <c r="A745" s="5" t="n">
        <v>45930</v>
      </c>
      <c r="B745" t="inlineStr">
        <is>
          <t>CZ</t>
        </is>
      </c>
      <c r="C745" t="inlineStr">
        <is>
          <t>PL_PREM</t>
        </is>
      </c>
      <c r="D745" t="inlineStr">
        <is>
          <t>1-29</t>
        </is>
      </c>
      <c r="E745" t="n">
        <v>1</v>
      </c>
      <c r="F745" t="n">
        <v>4</v>
      </c>
      <c r="G745" t="n">
        <v>838464.24</v>
      </c>
      <c r="H745">
        <f>IFERROR(VLOOKUP(C745,Lookups!$A$3:$C$7,3,FALSE),"UNMAPPED")</f>
        <v/>
      </c>
    </row>
    <row r="746">
      <c r="A746" s="5" t="n">
        <v>45930</v>
      </c>
      <c r="B746" t="inlineStr">
        <is>
          <t>CZ</t>
        </is>
      </c>
      <c r="C746" t="inlineStr">
        <is>
          <t>PL_PREM</t>
        </is>
      </c>
      <c r="D746" t="inlineStr">
        <is>
          <t>30-59</t>
        </is>
      </c>
      <c r="E746" t="n">
        <v>30</v>
      </c>
      <c r="F746" t="n">
        <v>2</v>
      </c>
      <c r="G746" t="n">
        <v>433314.83</v>
      </c>
      <c r="H746">
        <f>IFERROR(VLOOKUP(C746,Lookups!$A$3:$C$7,3,FALSE),"UNMAPPED")</f>
        <v/>
      </c>
    </row>
    <row r="747">
      <c r="A747" s="5" t="n">
        <v>45930</v>
      </c>
      <c r="B747" t="inlineStr">
        <is>
          <t>CZ</t>
        </is>
      </c>
      <c r="C747" t="inlineStr">
        <is>
          <t>PL_PREM</t>
        </is>
      </c>
      <c r="D747" t="inlineStr">
        <is>
          <t>60-89</t>
        </is>
      </c>
      <c r="E747" t="n">
        <v>60</v>
      </c>
      <c r="F747" t="n">
        <v>3</v>
      </c>
      <c r="G747" t="n">
        <v>752464.53</v>
      </c>
      <c r="H747">
        <f>IFERROR(VLOOKUP(C747,Lookups!$A$3:$C$7,3,FALSE),"UNMAPPED")</f>
        <v/>
      </c>
    </row>
    <row r="748">
      <c r="A748" s="5" t="n">
        <v>45930</v>
      </c>
      <c r="B748" t="inlineStr">
        <is>
          <t>CZ</t>
        </is>
      </c>
      <c r="C748" t="inlineStr">
        <is>
          <t>PL_PREM</t>
        </is>
      </c>
      <c r="D748" t="inlineStr">
        <is>
          <t>90-179</t>
        </is>
      </c>
      <c r="E748" t="n">
        <v>90</v>
      </c>
      <c r="F748" t="n">
        <v>7</v>
      </c>
      <c r="G748" t="n">
        <v>2007452.23</v>
      </c>
      <c r="H748">
        <f>IFERROR(VLOOKUP(C748,Lookups!$A$3:$C$7,3,FALSE),"UNMAPPED")</f>
        <v/>
      </c>
    </row>
    <row r="749">
      <c r="A749" s="5" t="n">
        <v>45930</v>
      </c>
      <c r="B749" t="inlineStr">
        <is>
          <t>CZ</t>
        </is>
      </c>
      <c r="C749" t="inlineStr">
        <is>
          <t>PL_STD</t>
        </is>
      </c>
      <c r="D749" t="inlineStr">
        <is>
          <t>Current</t>
        </is>
      </c>
      <c r="E749" t="n">
        <v>0</v>
      </c>
      <c r="F749" t="n">
        <v>831</v>
      </c>
      <c r="G749" t="n">
        <v>58478890.75</v>
      </c>
      <c r="H749">
        <f>IFERROR(VLOOKUP(C749,Lookups!$A$3:$C$7,3,FALSE),"UNMAPPED")</f>
        <v/>
      </c>
    </row>
    <row r="750">
      <c r="A750" s="5" t="n">
        <v>45930</v>
      </c>
      <c r="B750" t="inlineStr">
        <is>
          <t>CZ</t>
        </is>
      </c>
      <c r="C750" t="inlineStr">
        <is>
          <t>PL_STD</t>
        </is>
      </c>
      <c r="D750" t="inlineStr">
        <is>
          <t>1-29</t>
        </is>
      </c>
      <c r="E750" t="n">
        <v>1</v>
      </c>
      <c r="F750" t="n">
        <v>18</v>
      </c>
      <c r="G750" t="n">
        <v>1293901.66</v>
      </c>
      <c r="H750">
        <f>IFERROR(VLOOKUP(C750,Lookups!$A$3:$C$7,3,FALSE),"UNMAPPED")</f>
        <v/>
      </c>
    </row>
    <row r="751">
      <c r="A751" s="5" t="n">
        <v>45930</v>
      </c>
      <c r="B751" t="inlineStr">
        <is>
          <t>CZ</t>
        </is>
      </c>
      <c r="C751" t="inlineStr">
        <is>
          <t>PL_STD</t>
        </is>
      </c>
      <c r="D751" t="inlineStr">
        <is>
          <t>30-59</t>
        </is>
      </c>
      <c r="E751" t="n">
        <v>30</v>
      </c>
      <c r="F751" t="n">
        <v>5</v>
      </c>
      <c r="G751" t="n">
        <v>460223.6</v>
      </c>
      <c r="H751">
        <f>IFERROR(VLOOKUP(C751,Lookups!$A$3:$C$7,3,FALSE),"UNMAPPED")</f>
        <v/>
      </c>
    </row>
    <row r="752">
      <c r="A752" s="5" t="n">
        <v>45930</v>
      </c>
      <c r="B752" t="inlineStr">
        <is>
          <t>CZ</t>
        </is>
      </c>
      <c r="C752" t="inlineStr">
        <is>
          <t>PL_STD</t>
        </is>
      </c>
      <c r="D752" t="inlineStr">
        <is>
          <t>60-89</t>
        </is>
      </c>
      <c r="E752" t="n">
        <v>60</v>
      </c>
      <c r="F752" t="n">
        <v>7</v>
      </c>
      <c r="G752" t="n">
        <v>518649.27</v>
      </c>
      <c r="H752">
        <f>IFERROR(VLOOKUP(C752,Lookups!$A$3:$C$7,3,FALSE),"UNMAPPED")</f>
        <v/>
      </c>
    </row>
    <row r="753">
      <c r="A753" s="5" t="n">
        <v>45930</v>
      </c>
      <c r="B753" t="inlineStr">
        <is>
          <t>CZ</t>
        </is>
      </c>
      <c r="C753" t="inlineStr">
        <is>
          <t>PL_STD</t>
        </is>
      </c>
      <c r="D753" t="inlineStr">
        <is>
          <t>90-179</t>
        </is>
      </c>
      <c r="E753" t="n">
        <v>90</v>
      </c>
      <c r="F753" t="n">
        <v>4</v>
      </c>
      <c r="G753" t="n">
        <v>237570.55</v>
      </c>
      <c r="H753">
        <f>IFERROR(VLOOKUP(C753,Lookups!$A$3:$C$7,3,FALSE),"UNMAPPED")</f>
        <v/>
      </c>
    </row>
    <row r="754">
      <c r="A754" s="5" t="n">
        <v>45930</v>
      </c>
      <c r="B754" t="inlineStr">
        <is>
          <t>PL</t>
        </is>
      </c>
      <c r="C754" t="inlineStr">
        <is>
          <t>CC_CLASSIC</t>
        </is>
      </c>
      <c r="D754" t="inlineStr">
        <is>
          <t>Current</t>
        </is>
      </c>
      <c r="E754" t="n">
        <v>0</v>
      </c>
      <c r="F754" t="n">
        <v>1645</v>
      </c>
      <c r="G754" t="n">
        <v>4679634.41</v>
      </c>
      <c r="H754">
        <f>IFERROR(VLOOKUP(C754,Lookups!$A$3:$C$7,3,FALSE),"UNMAPPED")</f>
        <v/>
      </c>
    </row>
    <row r="755">
      <c r="A755" s="5" t="n">
        <v>45930</v>
      </c>
      <c r="B755" t="inlineStr">
        <is>
          <t>PL</t>
        </is>
      </c>
      <c r="C755" t="inlineStr">
        <is>
          <t>CC_CLASSIC</t>
        </is>
      </c>
      <c r="D755" t="inlineStr">
        <is>
          <t>1-29</t>
        </is>
      </c>
      <c r="E755" t="n">
        <v>1</v>
      </c>
      <c r="F755" t="n">
        <v>23</v>
      </c>
      <c r="G755" t="n">
        <v>68140.99000000001</v>
      </c>
      <c r="H755">
        <f>IFERROR(VLOOKUP(C755,Lookups!$A$3:$C$7,3,FALSE),"UNMAPPED")</f>
        <v/>
      </c>
    </row>
    <row r="756">
      <c r="A756" s="5" t="n">
        <v>45930</v>
      </c>
      <c r="B756" t="inlineStr">
        <is>
          <t>PL</t>
        </is>
      </c>
      <c r="C756" t="inlineStr">
        <is>
          <t>CC_CLASSIC</t>
        </is>
      </c>
      <c r="D756" t="inlineStr">
        <is>
          <t>30-59</t>
        </is>
      </c>
      <c r="E756" t="n">
        <v>30</v>
      </c>
      <c r="F756" t="n">
        <v>16</v>
      </c>
      <c r="G756" t="n">
        <v>46955.63</v>
      </c>
      <c r="H756">
        <f>IFERROR(VLOOKUP(C756,Lookups!$A$3:$C$7,3,FALSE),"UNMAPPED")</f>
        <v/>
      </c>
    </row>
    <row r="757">
      <c r="A757" s="5" t="n">
        <v>45930</v>
      </c>
      <c r="B757" t="inlineStr">
        <is>
          <t>PL</t>
        </is>
      </c>
      <c r="C757" t="inlineStr">
        <is>
          <t>CC_CLASSIC</t>
        </is>
      </c>
      <c r="D757" t="inlineStr">
        <is>
          <t>60-89</t>
        </is>
      </c>
      <c r="E757" t="n">
        <v>60</v>
      </c>
      <c r="F757" t="n">
        <v>16</v>
      </c>
      <c r="G757" t="n">
        <v>52914.68</v>
      </c>
      <c r="H757">
        <f>IFERROR(VLOOKUP(C757,Lookups!$A$3:$C$7,3,FALSE),"UNMAPPED")</f>
        <v/>
      </c>
    </row>
    <row r="758">
      <c r="A758" s="5" t="n">
        <v>45930</v>
      </c>
      <c r="B758" t="inlineStr">
        <is>
          <t>PL</t>
        </is>
      </c>
      <c r="C758" t="inlineStr">
        <is>
          <t>CC_CLASSIC</t>
        </is>
      </c>
      <c r="D758" t="inlineStr">
        <is>
          <t>90-179</t>
        </is>
      </c>
      <c r="E758" t="n">
        <v>90</v>
      </c>
      <c r="F758" t="n">
        <v>20</v>
      </c>
      <c r="G758" t="n">
        <v>73773.88</v>
      </c>
      <c r="H758">
        <f>IFERROR(VLOOKUP(C758,Lookups!$A$3:$C$7,3,FALSE),"UNMAPPED")</f>
        <v/>
      </c>
    </row>
    <row r="759">
      <c r="A759" s="5" t="n">
        <v>45930</v>
      </c>
      <c r="B759" t="inlineStr">
        <is>
          <t>PL</t>
        </is>
      </c>
      <c r="C759" t="inlineStr">
        <is>
          <t>CC_CONSOL</t>
        </is>
      </c>
      <c r="D759" t="inlineStr">
        <is>
          <t>Current</t>
        </is>
      </c>
      <c r="E759" t="n">
        <v>0</v>
      </c>
      <c r="F759" t="n">
        <v>108</v>
      </c>
      <c r="G759" t="n">
        <v>3019072.1</v>
      </c>
      <c r="H759">
        <f>IFERROR(VLOOKUP(C759,Lookups!$A$3:$C$7,3,FALSE),"UNMAPPED")</f>
        <v/>
      </c>
    </row>
    <row r="760">
      <c r="A760" s="5" t="n">
        <v>45930</v>
      </c>
      <c r="B760" t="inlineStr">
        <is>
          <t>PL</t>
        </is>
      </c>
      <c r="C760" t="inlineStr">
        <is>
          <t>CC_CONSOL</t>
        </is>
      </c>
      <c r="D760" t="inlineStr">
        <is>
          <t>1-29</t>
        </is>
      </c>
      <c r="E760" t="n">
        <v>1</v>
      </c>
      <c r="F760" t="n">
        <v>5</v>
      </c>
      <c r="G760" t="n">
        <v>137583.43</v>
      </c>
      <c r="H760">
        <f>IFERROR(VLOOKUP(C760,Lookups!$A$3:$C$7,3,FALSE),"UNMAPPED")</f>
        <v/>
      </c>
    </row>
    <row r="761">
      <c r="A761" s="5" t="n">
        <v>45930</v>
      </c>
      <c r="B761" t="inlineStr">
        <is>
          <t>PL</t>
        </is>
      </c>
      <c r="C761" t="inlineStr">
        <is>
          <t>CC_CONSOL</t>
        </is>
      </c>
      <c r="D761" t="inlineStr">
        <is>
          <t>30-59</t>
        </is>
      </c>
      <c r="E761" t="n">
        <v>30</v>
      </c>
      <c r="F761" t="n">
        <v>2</v>
      </c>
      <c r="G761" t="n">
        <v>48135.22</v>
      </c>
      <c r="H761">
        <f>IFERROR(VLOOKUP(C761,Lookups!$A$3:$C$7,3,FALSE),"UNMAPPED")</f>
        <v/>
      </c>
    </row>
    <row r="762">
      <c r="A762" s="5" t="n">
        <v>45930</v>
      </c>
      <c r="B762" t="inlineStr">
        <is>
          <t>PL</t>
        </is>
      </c>
      <c r="C762" t="inlineStr">
        <is>
          <t>CC_CONSOL</t>
        </is>
      </c>
      <c r="D762" t="inlineStr">
        <is>
          <t>60-89</t>
        </is>
      </c>
      <c r="E762" t="n">
        <v>60</v>
      </c>
      <c r="F762" t="n">
        <v>2</v>
      </c>
      <c r="G762" t="n">
        <v>52515.31</v>
      </c>
      <c r="H762">
        <f>IFERROR(VLOOKUP(C762,Lookups!$A$3:$C$7,3,FALSE),"UNMAPPED")</f>
        <v/>
      </c>
    </row>
    <row r="763">
      <c r="A763" s="5" t="n">
        <v>45930</v>
      </c>
      <c r="B763" t="inlineStr">
        <is>
          <t>PL</t>
        </is>
      </c>
      <c r="C763" t="inlineStr">
        <is>
          <t>CC_GOLD</t>
        </is>
      </c>
      <c r="D763" t="inlineStr">
        <is>
          <t>Current</t>
        </is>
      </c>
      <c r="E763" t="n">
        <v>0</v>
      </c>
      <c r="F763" t="n">
        <v>486</v>
      </c>
      <c r="G763" t="n">
        <v>4923792.6</v>
      </c>
      <c r="H763">
        <f>IFERROR(VLOOKUP(C763,Lookups!$A$3:$C$7,3,FALSE),"UNMAPPED")</f>
        <v/>
      </c>
    </row>
    <row r="764">
      <c r="A764" s="5" t="n">
        <v>45930</v>
      </c>
      <c r="B764" t="inlineStr">
        <is>
          <t>PL</t>
        </is>
      </c>
      <c r="C764" t="inlineStr">
        <is>
          <t>CC_GOLD</t>
        </is>
      </c>
      <c r="D764" t="inlineStr">
        <is>
          <t>1-29</t>
        </is>
      </c>
      <c r="E764" t="n">
        <v>1</v>
      </c>
      <c r="F764" t="n">
        <v>10</v>
      </c>
      <c r="G764" t="n">
        <v>93047.03</v>
      </c>
      <c r="H764">
        <f>IFERROR(VLOOKUP(C764,Lookups!$A$3:$C$7,3,FALSE),"UNMAPPED")</f>
        <v/>
      </c>
    </row>
    <row r="765">
      <c r="A765" s="5" t="n">
        <v>45930</v>
      </c>
      <c r="B765" t="inlineStr">
        <is>
          <t>PL</t>
        </is>
      </c>
      <c r="C765" t="inlineStr">
        <is>
          <t>CC_GOLD</t>
        </is>
      </c>
      <c r="D765" t="inlineStr">
        <is>
          <t>30-59</t>
        </is>
      </c>
      <c r="E765" t="n">
        <v>30</v>
      </c>
      <c r="F765" t="n">
        <v>4</v>
      </c>
      <c r="G765" t="n">
        <v>29031.07</v>
      </c>
      <c r="H765">
        <f>IFERROR(VLOOKUP(C765,Lookups!$A$3:$C$7,3,FALSE),"UNMAPPED")</f>
        <v/>
      </c>
    </row>
    <row r="766">
      <c r="A766" s="5" t="n">
        <v>45930</v>
      </c>
      <c r="B766" t="inlineStr">
        <is>
          <t>PL</t>
        </is>
      </c>
      <c r="C766" t="inlineStr">
        <is>
          <t>CC_GOLD</t>
        </is>
      </c>
      <c r="D766" t="inlineStr">
        <is>
          <t>60-89</t>
        </is>
      </c>
      <c r="E766" t="n">
        <v>60</v>
      </c>
      <c r="F766" t="n">
        <v>6</v>
      </c>
      <c r="G766" t="n">
        <v>81374.44</v>
      </c>
      <c r="H766">
        <f>IFERROR(VLOOKUP(C766,Lookups!$A$3:$C$7,3,FALSE),"UNMAPPED")</f>
        <v/>
      </c>
    </row>
    <row r="767">
      <c r="A767" s="5" t="n">
        <v>45930</v>
      </c>
      <c r="B767" t="inlineStr">
        <is>
          <t>PL</t>
        </is>
      </c>
      <c r="C767" t="inlineStr">
        <is>
          <t>CC_GOLD</t>
        </is>
      </c>
      <c r="D767" t="inlineStr">
        <is>
          <t>90-179</t>
        </is>
      </c>
      <c r="E767" t="n">
        <v>90</v>
      </c>
      <c r="F767" t="n">
        <v>5</v>
      </c>
      <c r="G767" t="n">
        <v>56086.29</v>
      </c>
      <c r="H767">
        <f>IFERROR(VLOOKUP(C767,Lookups!$A$3:$C$7,3,FALSE),"UNMAPPED")</f>
        <v/>
      </c>
    </row>
    <row r="768">
      <c r="A768" s="5" t="n">
        <v>45930</v>
      </c>
      <c r="B768" t="inlineStr">
        <is>
          <t>PL</t>
        </is>
      </c>
      <c r="C768" t="inlineStr">
        <is>
          <t>PL_PREM</t>
        </is>
      </c>
      <c r="D768" t="inlineStr">
        <is>
          <t>Current</t>
        </is>
      </c>
      <c r="E768" t="n">
        <v>0</v>
      </c>
      <c r="F768" t="n">
        <v>512</v>
      </c>
      <c r="G768" t="n">
        <v>20982985.58</v>
      </c>
      <c r="H768">
        <f>IFERROR(VLOOKUP(C768,Lookups!$A$3:$C$7,3,FALSE),"UNMAPPED")</f>
        <v/>
      </c>
    </row>
    <row r="769">
      <c r="A769" s="5" t="n">
        <v>45930</v>
      </c>
      <c r="B769" t="inlineStr">
        <is>
          <t>PL</t>
        </is>
      </c>
      <c r="C769" t="inlineStr">
        <is>
          <t>PL_PREM</t>
        </is>
      </c>
      <c r="D769" t="inlineStr">
        <is>
          <t>1-29</t>
        </is>
      </c>
      <c r="E769" t="n">
        <v>1</v>
      </c>
      <c r="F769" t="n">
        <v>9</v>
      </c>
      <c r="G769" t="n">
        <v>479974.52</v>
      </c>
      <c r="H769">
        <f>IFERROR(VLOOKUP(C769,Lookups!$A$3:$C$7,3,FALSE),"UNMAPPED")</f>
        <v/>
      </c>
    </row>
    <row r="770">
      <c r="A770" s="5" t="n">
        <v>45930</v>
      </c>
      <c r="B770" t="inlineStr">
        <is>
          <t>PL</t>
        </is>
      </c>
      <c r="C770" t="inlineStr">
        <is>
          <t>PL_PREM</t>
        </is>
      </c>
      <c r="D770" t="inlineStr">
        <is>
          <t>30-59</t>
        </is>
      </c>
      <c r="E770" t="n">
        <v>30</v>
      </c>
      <c r="F770" t="n">
        <v>5</v>
      </c>
      <c r="G770" t="n">
        <v>240978.87</v>
      </c>
      <c r="H770">
        <f>IFERROR(VLOOKUP(C770,Lookups!$A$3:$C$7,3,FALSE),"UNMAPPED")</f>
        <v/>
      </c>
    </row>
    <row r="771">
      <c r="A771" s="5" t="n">
        <v>45930</v>
      </c>
      <c r="B771" t="inlineStr">
        <is>
          <t>PL</t>
        </is>
      </c>
      <c r="C771" t="inlineStr">
        <is>
          <t>PL_PREM</t>
        </is>
      </c>
      <c r="D771" t="inlineStr">
        <is>
          <t>60-89</t>
        </is>
      </c>
      <c r="E771" t="n">
        <v>60</v>
      </c>
      <c r="F771" t="n">
        <v>3</v>
      </c>
      <c r="G771" t="n">
        <v>98947.11</v>
      </c>
      <c r="H771">
        <f>IFERROR(VLOOKUP(C771,Lookups!$A$3:$C$7,3,FALSE),"UNMAPPED")</f>
        <v/>
      </c>
    </row>
    <row r="772">
      <c r="A772" s="5" t="n">
        <v>45930</v>
      </c>
      <c r="B772" t="inlineStr">
        <is>
          <t>PL</t>
        </is>
      </c>
      <c r="C772" t="inlineStr">
        <is>
          <t>PL_PREM</t>
        </is>
      </c>
      <c r="D772" t="inlineStr">
        <is>
          <t>90-179</t>
        </is>
      </c>
      <c r="E772" t="n">
        <v>90</v>
      </c>
      <c r="F772" t="n">
        <v>7</v>
      </c>
      <c r="G772" t="n">
        <v>329898.92</v>
      </c>
      <c r="H772">
        <f>IFERROR(VLOOKUP(C772,Lookups!$A$3:$C$7,3,FALSE),"UNMAPPED")</f>
        <v/>
      </c>
    </row>
    <row r="773">
      <c r="A773" s="5" t="n">
        <v>45930</v>
      </c>
      <c r="B773" t="inlineStr">
        <is>
          <t>PL</t>
        </is>
      </c>
      <c r="C773" t="inlineStr">
        <is>
          <t>PL_STD</t>
        </is>
      </c>
      <c r="D773" t="inlineStr">
        <is>
          <t>Current</t>
        </is>
      </c>
      <c r="E773" t="n">
        <v>0</v>
      </c>
      <c r="F773" t="n">
        <v>1123</v>
      </c>
      <c r="G773" t="n">
        <v>13165957.94</v>
      </c>
      <c r="H773">
        <f>IFERROR(VLOOKUP(C773,Lookups!$A$3:$C$7,3,FALSE),"UNMAPPED")</f>
        <v/>
      </c>
    </row>
    <row r="774">
      <c r="A774" s="5" t="n">
        <v>45930</v>
      </c>
      <c r="B774" t="inlineStr">
        <is>
          <t>PL</t>
        </is>
      </c>
      <c r="C774" t="inlineStr">
        <is>
          <t>PL_STD</t>
        </is>
      </c>
      <c r="D774" t="inlineStr">
        <is>
          <t>1-29</t>
        </is>
      </c>
      <c r="E774" t="n">
        <v>1</v>
      </c>
      <c r="F774" t="n">
        <v>20</v>
      </c>
      <c r="G774" t="n">
        <v>281779.79</v>
      </c>
      <c r="H774">
        <f>IFERROR(VLOOKUP(C774,Lookups!$A$3:$C$7,3,FALSE),"UNMAPPED")</f>
        <v/>
      </c>
    </row>
    <row r="775">
      <c r="A775" s="5" t="n">
        <v>45930</v>
      </c>
      <c r="B775" t="inlineStr">
        <is>
          <t>PL</t>
        </is>
      </c>
      <c r="C775" t="inlineStr">
        <is>
          <t>PL_STD</t>
        </is>
      </c>
      <c r="D775" t="inlineStr">
        <is>
          <t>30-59</t>
        </is>
      </c>
      <c r="E775" t="n">
        <v>30</v>
      </c>
      <c r="F775" t="n">
        <v>12</v>
      </c>
      <c r="G775" t="n">
        <v>137962.96</v>
      </c>
      <c r="H775">
        <f>IFERROR(VLOOKUP(C775,Lookups!$A$3:$C$7,3,FALSE),"UNMAPPED")</f>
        <v/>
      </c>
    </row>
    <row r="776">
      <c r="A776" s="5" t="n">
        <v>45930</v>
      </c>
      <c r="B776" t="inlineStr">
        <is>
          <t>PL</t>
        </is>
      </c>
      <c r="C776" t="inlineStr">
        <is>
          <t>PL_STD</t>
        </is>
      </c>
      <c r="D776" t="inlineStr">
        <is>
          <t>60-89</t>
        </is>
      </c>
      <c r="E776" t="n">
        <v>60</v>
      </c>
      <c r="F776" t="n">
        <v>13</v>
      </c>
      <c r="G776" t="n">
        <v>160924.42</v>
      </c>
      <c r="H776">
        <f>IFERROR(VLOOKUP(C776,Lookups!$A$3:$C$7,3,FALSE),"UNMAPPED")</f>
        <v/>
      </c>
    </row>
    <row r="777">
      <c r="A777" s="5" t="n">
        <v>45930</v>
      </c>
      <c r="B777" t="inlineStr">
        <is>
          <t>PL</t>
        </is>
      </c>
      <c r="C777" t="inlineStr">
        <is>
          <t>PL_STD</t>
        </is>
      </c>
      <c r="D777" t="inlineStr">
        <is>
          <t>90-179</t>
        </is>
      </c>
      <c r="E777" t="n">
        <v>90</v>
      </c>
      <c r="F777" t="n">
        <v>14</v>
      </c>
      <c r="G777" t="n">
        <v>163214.09</v>
      </c>
      <c r="H777">
        <f>IFERROR(VLOOKUP(C777,Lookups!$A$3:$C$7,3,FALSE),"UNMAPPED")</f>
        <v/>
      </c>
    </row>
    <row r="778">
      <c r="A778" s="5" t="n">
        <v>45930</v>
      </c>
      <c r="B778" t="inlineStr">
        <is>
          <t>RO</t>
        </is>
      </c>
      <c r="C778" t="inlineStr">
        <is>
          <t>CC_CLASSIC</t>
        </is>
      </c>
      <c r="D778" t="inlineStr">
        <is>
          <t>Current</t>
        </is>
      </c>
      <c r="E778" t="n">
        <v>0</v>
      </c>
      <c r="F778" t="n">
        <v>913</v>
      </c>
      <c r="G778" t="n">
        <v>3099281.32</v>
      </c>
      <c r="H778">
        <f>IFERROR(VLOOKUP(C778,Lookups!$A$3:$C$7,3,FALSE),"UNMAPPED")</f>
        <v/>
      </c>
    </row>
    <row r="779">
      <c r="A779" s="5" t="n">
        <v>45930</v>
      </c>
      <c r="B779" t="inlineStr">
        <is>
          <t>RO</t>
        </is>
      </c>
      <c r="C779" t="inlineStr">
        <is>
          <t>CC_CLASSIC</t>
        </is>
      </c>
      <c r="D779" t="inlineStr">
        <is>
          <t>1-29</t>
        </is>
      </c>
      <c r="E779" t="n">
        <v>1</v>
      </c>
      <c r="F779" t="n">
        <v>12</v>
      </c>
      <c r="G779" t="n">
        <v>39552</v>
      </c>
      <c r="H779">
        <f>IFERROR(VLOOKUP(C779,Lookups!$A$3:$C$7,3,FALSE),"UNMAPPED")</f>
        <v/>
      </c>
    </row>
    <row r="780">
      <c r="A780" s="5" t="n">
        <v>45930</v>
      </c>
      <c r="B780" t="inlineStr">
        <is>
          <t>RO</t>
        </is>
      </c>
      <c r="C780" t="inlineStr">
        <is>
          <t>CC_CLASSIC</t>
        </is>
      </c>
      <c r="D780" t="inlineStr">
        <is>
          <t>30-59</t>
        </is>
      </c>
      <c r="E780" t="n">
        <v>30</v>
      </c>
      <c r="F780" t="n">
        <v>8</v>
      </c>
      <c r="G780" t="n">
        <v>28150.06</v>
      </c>
      <c r="H780">
        <f>IFERROR(VLOOKUP(C780,Lookups!$A$3:$C$7,3,FALSE),"UNMAPPED")</f>
        <v/>
      </c>
    </row>
    <row r="781">
      <c r="A781" s="5" t="n">
        <v>45930</v>
      </c>
      <c r="B781" t="inlineStr">
        <is>
          <t>RO</t>
        </is>
      </c>
      <c r="C781" t="inlineStr">
        <is>
          <t>CC_CLASSIC</t>
        </is>
      </c>
      <c r="D781" t="inlineStr">
        <is>
          <t>60-89</t>
        </is>
      </c>
      <c r="E781" t="n">
        <v>60</v>
      </c>
      <c r="F781" t="n">
        <v>13</v>
      </c>
      <c r="G781" t="n">
        <v>28759.19</v>
      </c>
      <c r="H781">
        <f>IFERROR(VLOOKUP(C781,Lookups!$A$3:$C$7,3,FALSE),"UNMAPPED")</f>
        <v/>
      </c>
    </row>
    <row r="782">
      <c r="A782" s="5" t="n">
        <v>45930</v>
      </c>
      <c r="B782" t="inlineStr">
        <is>
          <t>RO</t>
        </is>
      </c>
      <c r="C782" t="inlineStr">
        <is>
          <t>CC_CLASSIC</t>
        </is>
      </c>
      <c r="D782" t="inlineStr">
        <is>
          <t>90-179</t>
        </is>
      </c>
      <c r="E782" t="n">
        <v>90</v>
      </c>
      <c r="F782" t="n">
        <v>15</v>
      </c>
      <c r="G782" t="n">
        <v>39947.61</v>
      </c>
      <c r="H782">
        <f>IFERROR(VLOOKUP(C782,Lookups!$A$3:$C$7,3,FALSE),"UNMAPPED")</f>
        <v/>
      </c>
    </row>
    <row r="783">
      <c r="A783" s="5" t="n">
        <v>45930</v>
      </c>
      <c r="B783" t="inlineStr">
        <is>
          <t>RO</t>
        </is>
      </c>
      <c r="C783" t="inlineStr">
        <is>
          <t>CC_CONSOL</t>
        </is>
      </c>
      <c r="D783" t="inlineStr">
        <is>
          <t>Current</t>
        </is>
      </c>
      <c r="E783" t="n">
        <v>0</v>
      </c>
      <c r="F783" t="n">
        <v>58</v>
      </c>
      <c r="G783" t="n">
        <v>1957927.11</v>
      </c>
      <c r="H783">
        <f>IFERROR(VLOOKUP(C783,Lookups!$A$3:$C$7,3,FALSE),"UNMAPPED")</f>
        <v/>
      </c>
    </row>
    <row r="784">
      <c r="A784" s="5" t="n">
        <v>45930</v>
      </c>
      <c r="B784" t="inlineStr">
        <is>
          <t>RO</t>
        </is>
      </c>
      <c r="C784" t="inlineStr">
        <is>
          <t>CC_CONSOL</t>
        </is>
      </c>
      <c r="D784" t="inlineStr">
        <is>
          <t>1-29</t>
        </is>
      </c>
      <c r="E784" t="n">
        <v>1</v>
      </c>
      <c r="F784" t="n">
        <v>3</v>
      </c>
      <c r="G784" t="n">
        <v>68340.58</v>
      </c>
      <c r="H784">
        <f>IFERROR(VLOOKUP(C784,Lookups!$A$3:$C$7,3,FALSE),"UNMAPPED")</f>
        <v/>
      </c>
    </row>
    <row r="785">
      <c r="A785" s="5" t="n">
        <v>45930</v>
      </c>
      <c r="B785" t="inlineStr">
        <is>
          <t>RO</t>
        </is>
      </c>
      <c r="C785" t="inlineStr">
        <is>
          <t>CC_CONSOL</t>
        </is>
      </c>
      <c r="D785" t="inlineStr">
        <is>
          <t>30-59</t>
        </is>
      </c>
      <c r="E785" t="n">
        <v>30</v>
      </c>
      <c r="F785" t="n">
        <v>1</v>
      </c>
      <c r="G785" t="n">
        <v>50745.12</v>
      </c>
      <c r="H785">
        <f>IFERROR(VLOOKUP(C785,Lookups!$A$3:$C$7,3,FALSE),"UNMAPPED")</f>
        <v/>
      </c>
    </row>
    <row r="786">
      <c r="A786" s="5" t="n">
        <v>45930</v>
      </c>
      <c r="B786" t="inlineStr">
        <is>
          <t>RO</t>
        </is>
      </c>
      <c r="C786" t="inlineStr">
        <is>
          <t>CC_CONSOL</t>
        </is>
      </c>
      <c r="D786" t="inlineStr">
        <is>
          <t>90-179</t>
        </is>
      </c>
      <c r="E786" t="n">
        <v>90</v>
      </c>
      <c r="F786" t="n">
        <v>1</v>
      </c>
      <c r="G786" t="n">
        <v>62386.98</v>
      </c>
      <c r="H786">
        <f>IFERROR(VLOOKUP(C786,Lookups!$A$3:$C$7,3,FALSE),"UNMAPPED")</f>
        <v/>
      </c>
    </row>
    <row r="787">
      <c r="A787" s="5" t="n">
        <v>45930</v>
      </c>
      <c r="B787" t="inlineStr">
        <is>
          <t>RO</t>
        </is>
      </c>
      <c r="C787" t="inlineStr">
        <is>
          <t>CC_GOLD</t>
        </is>
      </c>
      <c r="D787" t="inlineStr">
        <is>
          <t>Current</t>
        </is>
      </c>
      <c r="E787" t="n">
        <v>0</v>
      </c>
      <c r="F787" t="n">
        <v>248</v>
      </c>
      <c r="G787" t="n">
        <v>2853580.83</v>
      </c>
      <c r="H787">
        <f>IFERROR(VLOOKUP(C787,Lookups!$A$3:$C$7,3,FALSE),"UNMAPPED")</f>
        <v/>
      </c>
    </row>
    <row r="788">
      <c r="A788" s="5" t="n">
        <v>45930</v>
      </c>
      <c r="B788" t="inlineStr">
        <is>
          <t>RO</t>
        </is>
      </c>
      <c r="C788" t="inlineStr">
        <is>
          <t>CC_GOLD</t>
        </is>
      </c>
      <c r="D788" t="inlineStr">
        <is>
          <t>1-29</t>
        </is>
      </c>
      <c r="E788" t="n">
        <v>1</v>
      </c>
      <c r="F788" t="n">
        <v>4</v>
      </c>
      <c r="G788" t="n">
        <v>74448.46000000001</v>
      </c>
      <c r="H788">
        <f>IFERROR(VLOOKUP(C788,Lookups!$A$3:$C$7,3,FALSE),"UNMAPPED")</f>
        <v/>
      </c>
    </row>
    <row r="789">
      <c r="A789" s="5" t="n">
        <v>45930</v>
      </c>
      <c r="B789" t="inlineStr">
        <is>
          <t>RO</t>
        </is>
      </c>
      <c r="C789" t="inlineStr">
        <is>
          <t>CC_GOLD</t>
        </is>
      </c>
      <c r="D789" t="inlineStr">
        <is>
          <t>30-59</t>
        </is>
      </c>
      <c r="E789" t="n">
        <v>30</v>
      </c>
      <c r="F789" t="n">
        <v>4</v>
      </c>
      <c r="G789" t="n">
        <v>40186.49</v>
      </c>
      <c r="H789">
        <f>IFERROR(VLOOKUP(C789,Lookups!$A$3:$C$7,3,FALSE),"UNMAPPED")</f>
        <v/>
      </c>
    </row>
    <row r="790">
      <c r="A790" s="5" t="n">
        <v>45930</v>
      </c>
      <c r="B790" t="inlineStr">
        <is>
          <t>RO</t>
        </is>
      </c>
      <c r="C790" t="inlineStr">
        <is>
          <t>CC_GOLD</t>
        </is>
      </c>
      <c r="D790" t="inlineStr">
        <is>
          <t>90-179</t>
        </is>
      </c>
      <c r="E790" t="n">
        <v>90</v>
      </c>
      <c r="F790" t="n">
        <v>6</v>
      </c>
      <c r="G790" t="n">
        <v>95837.5</v>
      </c>
      <c r="H790">
        <f>IFERROR(VLOOKUP(C790,Lookups!$A$3:$C$7,3,FALSE),"UNMAPPED")</f>
        <v/>
      </c>
    </row>
    <row r="791">
      <c r="A791" s="5" t="n">
        <v>45930</v>
      </c>
      <c r="B791" t="inlineStr">
        <is>
          <t>RO</t>
        </is>
      </c>
      <c r="C791" t="inlineStr">
        <is>
          <t>PL_PREM</t>
        </is>
      </c>
      <c r="D791" t="inlineStr">
        <is>
          <t>Current</t>
        </is>
      </c>
      <c r="E791" t="n">
        <v>0</v>
      </c>
      <c r="F791" t="n">
        <v>299</v>
      </c>
      <c r="G791" t="n">
        <v>13898597.44</v>
      </c>
      <c r="H791">
        <f>IFERROR(VLOOKUP(C791,Lookups!$A$3:$C$7,3,FALSE),"UNMAPPED")</f>
        <v/>
      </c>
    </row>
    <row r="792">
      <c r="A792" s="5" t="n">
        <v>45930</v>
      </c>
      <c r="B792" t="inlineStr">
        <is>
          <t>RO</t>
        </is>
      </c>
      <c r="C792" t="inlineStr">
        <is>
          <t>PL_PREM</t>
        </is>
      </c>
      <c r="D792" t="inlineStr">
        <is>
          <t>1-29</t>
        </is>
      </c>
      <c r="E792" t="n">
        <v>1</v>
      </c>
      <c r="F792" t="n">
        <v>5</v>
      </c>
      <c r="G792" t="n">
        <v>186814.45</v>
      </c>
      <c r="H792">
        <f>IFERROR(VLOOKUP(C792,Lookups!$A$3:$C$7,3,FALSE),"UNMAPPED")</f>
        <v/>
      </c>
    </row>
    <row r="793">
      <c r="A793" s="5" t="n">
        <v>45930</v>
      </c>
      <c r="B793" t="inlineStr">
        <is>
          <t>RO</t>
        </is>
      </c>
      <c r="C793" t="inlineStr">
        <is>
          <t>PL_PREM</t>
        </is>
      </c>
      <c r="D793" t="inlineStr">
        <is>
          <t>30-59</t>
        </is>
      </c>
      <c r="E793" t="n">
        <v>30</v>
      </c>
      <c r="F793" t="n">
        <v>3</v>
      </c>
      <c r="G793" t="n">
        <v>158507.04</v>
      </c>
      <c r="H793">
        <f>IFERROR(VLOOKUP(C793,Lookups!$A$3:$C$7,3,FALSE),"UNMAPPED")</f>
        <v/>
      </c>
    </row>
    <row r="794">
      <c r="A794" s="5" t="n">
        <v>45930</v>
      </c>
      <c r="B794" t="inlineStr">
        <is>
          <t>RO</t>
        </is>
      </c>
      <c r="C794" t="inlineStr">
        <is>
          <t>PL_PREM</t>
        </is>
      </c>
      <c r="D794" t="inlineStr">
        <is>
          <t>60-89</t>
        </is>
      </c>
      <c r="E794" t="n">
        <v>60</v>
      </c>
      <c r="F794" t="n">
        <v>1</v>
      </c>
      <c r="G794" t="n">
        <v>13784.47</v>
      </c>
      <c r="H794">
        <f>IFERROR(VLOOKUP(C794,Lookups!$A$3:$C$7,3,FALSE),"UNMAPPED")</f>
        <v/>
      </c>
    </row>
    <row r="795">
      <c r="A795" s="5" t="n">
        <v>45930</v>
      </c>
      <c r="B795" t="inlineStr">
        <is>
          <t>RO</t>
        </is>
      </c>
      <c r="C795" t="inlineStr">
        <is>
          <t>PL_PREM</t>
        </is>
      </c>
      <c r="D795" t="inlineStr">
        <is>
          <t>90-179</t>
        </is>
      </c>
      <c r="E795" t="n">
        <v>90</v>
      </c>
      <c r="F795" t="n">
        <v>7</v>
      </c>
      <c r="G795" t="n">
        <v>375835.49</v>
      </c>
      <c r="H795">
        <f>IFERROR(VLOOKUP(C795,Lookups!$A$3:$C$7,3,FALSE),"UNMAPPED")</f>
        <v/>
      </c>
    </row>
    <row r="796">
      <c r="A796" s="5" t="n">
        <v>45930</v>
      </c>
      <c r="B796" t="inlineStr">
        <is>
          <t>RO</t>
        </is>
      </c>
      <c r="C796" t="inlineStr">
        <is>
          <t>PL_STD</t>
        </is>
      </c>
      <c r="D796" t="inlineStr">
        <is>
          <t>Current</t>
        </is>
      </c>
      <c r="E796" t="n">
        <v>0</v>
      </c>
      <c r="F796" t="n">
        <v>753</v>
      </c>
      <c r="G796" t="n">
        <v>10970423.82</v>
      </c>
      <c r="H796">
        <f>IFERROR(VLOOKUP(C796,Lookups!$A$3:$C$7,3,FALSE),"UNMAPPED")</f>
        <v/>
      </c>
    </row>
    <row r="797">
      <c r="A797" s="5" t="n">
        <v>45930</v>
      </c>
      <c r="B797" t="inlineStr">
        <is>
          <t>RO</t>
        </is>
      </c>
      <c r="C797" t="inlineStr">
        <is>
          <t>PL_STD</t>
        </is>
      </c>
      <c r="D797" t="inlineStr">
        <is>
          <t>1-29</t>
        </is>
      </c>
      <c r="E797" t="n">
        <v>1</v>
      </c>
      <c r="F797" t="n">
        <v>10</v>
      </c>
      <c r="G797" t="n">
        <v>206445.34</v>
      </c>
      <c r="H797">
        <f>IFERROR(VLOOKUP(C797,Lookups!$A$3:$C$7,3,FALSE),"UNMAPPED")</f>
        <v/>
      </c>
    </row>
    <row r="798">
      <c r="A798" s="5" t="n">
        <v>45930</v>
      </c>
      <c r="B798" t="inlineStr">
        <is>
          <t>RO</t>
        </is>
      </c>
      <c r="C798" t="inlineStr">
        <is>
          <t>PL_STD</t>
        </is>
      </c>
      <c r="D798" t="inlineStr">
        <is>
          <t>30-59</t>
        </is>
      </c>
      <c r="E798" t="n">
        <v>30</v>
      </c>
      <c r="F798" t="n">
        <v>4</v>
      </c>
      <c r="G798" t="n">
        <v>67999.57000000001</v>
      </c>
      <c r="H798">
        <f>IFERROR(VLOOKUP(C798,Lookups!$A$3:$C$7,3,FALSE),"UNMAPPED")</f>
        <v/>
      </c>
    </row>
    <row r="799">
      <c r="A799" s="5" t="n">
        <v>45930</v>
      </c>
      <c r="B799" t="inlineStr">
        <is>
          <t>RO</t>
        </is>
      </c>
      <c r="C799" t="inlineStr">
        <is>
          <t>PL_STD</t>
        </is>
      </c>
      <c r="D799" t="inlineStr">
        <is>
          <t>60-89</t>
        </is>
      </c>
      <c r="E799" t="n">
        <v>60</v>
      </c>
      <c r="F799" t="n">
        <v>8</v>
      </c>
      <c r="G799" t="n">
        <v>102912.25</v>
      </c>
      <c r="H799">
        <f>IFERROR(VLOOKUP(C799,Lookups!$A$3:$C$7,3,FALSE),"UNMAPPED")</f>
        <v/>
      </c>
    </row>
    <row r="800">
      <c r="A800" s="5" t="n">
        <v>45930</v>
      </c>
      <c r="B800" t="inlineStr">
        <is>
          <t>RO</t>
        </is>
      </c>
      <c r="C800" t="inlineStr">
        <is>
          <t>PL_STD</t>
        </is>
      </c>
      <c r="D800" t="inlineStr">
        <is>
          <t>90-179</t>
        </is>
      </c>
      <c r="E800" t="n">
        <v>90</v>
      </c>
      <c r="F800" t="n">
        <v>10</v>
      </c>
      <c r="G800" t="n">
        <v>173321.17</v>
      </c>
      <c r="H800">
        <f>IFERROR(VLOOKUP(C800,Lookups!$A$3:$C$7,3,FALSE),"UNMAPPED")</f>
        <v/>
      </c>
    </row>
    <row r="801">
      <c r="A801" s="5" t="n">
        <v>45961</v>
      </c>
      <c r="B801" t="inlineStr">
        <is>
          <t>CZ</t>
        </is>
      </c>
      <c r="C801" t="inlineStr">
        <is>
          <t>CC_CLASSIC</t>
        </is>
      </c>
      <c r="D801" t="inlineStr">
        <is>
          <t>Current</t>
        </is>
      </c>
      <c r="E801" t="n">
        <v>0</v>
      </c>
      <c r="F801" t="n">
        <v>1271</v>
      </c>
      <c r="G801" t="n">
        <v>21043845.93</v>
      </c>
      <c r="H801">
        <f>IFERROR(VLOOKUP(C801,Lookups!$A$3:$C$7,3,FALSE),"UNMAPPED")</f>
        <v/>
      </c>
    </row>
    <row r="802">
      <c r="A802" s="5" t="n">
        <v>45961</v>
      </c>
      <c r="B802" t="inlineStr">
        <is>
          <t>CZ</t>
        </is>
      </c>
      <c r="C802" t="inlineStr">
        <is>
          <t>CC_CLASSIC</t>
        </is>
      </c>
      <c r="D802" t="inlineStr">
        <is>
          <t>1-29</t>
        </is>
      </c>
      <c r="E802" t="n">
        <v>1</v>
      </c>
      <c r="F802" t="n">
        <v>12</v>
      </c>
      <c r="G802" t="n">
        <v>224098.37</v>
      </c>
      <c r="H802">
        <f>IFERROR(VLOOKUP(C802,Lookups!$A$3:$C$7,3,FALSE),"UNMAPPED")</f>
        <v/>
      </c>
    </row>
    <row r="803">
      <c r="A803" s="5" t="n">
        <v>45961</v>
      </c>
      <c r="B803" t="inlineStr">
        <is>
          <t>CZ</t>
        </is>
      </c>
      <c r="C803" t="inlineStr">
        <is>
          <t>CC_CLASSIC</t>
        </is>
      </c>
      <c r="D803" t="inlineStr">
        <is>
          <t>30-59</t>
        </is>
      </c>
      <c r="E803" t="n">
        <v>30</v>
      </c>
      <c r="F803" t="n">
        <v>12</v>
      </c>
      <c r="G803" t="n">
        <v>230944.13</v>
      </c>
      <c r="H803">
        <f>IFERROR(VLOOKUP(C803,Lookups!$A$3:$C$7,3,FALSE),"UNMAPPED")</f>
        <v/>
      </c>
    </row>
    <row r="804">
      <c r="A804" s="5" t="n">
        <v>45961</v>
      </c>
      <c r="B804" t="inlineStr">
        <is>
          <t>CZ</t>
        </is>
      </c>
      <c r="C804" t="inlineStr">
        <is>
          <t>CC_CLASSIC</t>
        </is>
      </c>
      <c r="D804" t="inlineStr">
        <is>
          <t>60-89</t>
        </is>
      </c>
      <c r="E804" t="n">
        <v>60</v>
      </c>
      <c r="F804" t="n">
        <v>5</v>
      </c>
      <c r="G804" t="n">
        <v>96706.88</v>
      </c>
      <c r="H804">
        <f>IFERROR(VLOOKUP(C804,Lookups!$A$3:$C$7,3,FALSE),"UNMAPPED")</f>
        <v/>
      </c>
    </row>
    <row r="805">
      <c r="A805" s="5" t="n">
        <v>45961</v>
      </c>
      <c r="B805" t="inlineStr">
        <is>
          <t>CZ</t>
        </is>
      </c>
      <c r="C805" t="inlineStr">
        <is>
          <t>CC_CLASSIC</t>
        </is>
      </c>
      <c r="D805" t="inlineStr">
        <is>
          <t>90-179</t>
        </is>
      </c>
      <c r="E805" t="n">
        <v>90</v>
      </c>
      <c r="F805" t="n">
        <v>20</v>
      </c>
      <c r="G805" t="n">
        <v>425228.86</v>
      </c>
      <c r="H805">
        <f>IFERROR(VLOOKUP(C805,Lookups!$A$3:$C$7,3,FALSE),"UNMAPPED")</f>
        <v/>
      </c>
    </row>
    <row r="806">
      <c r="A806" s="5" t="n">
        <v>45961</v>
      </c>
      <c r="B806" t="inlineStr">
        <is>
          <t>CZ</t>
        </is>
      </c>
      <c r="C806" t="inlineStr">
        <is>
          <t>CC_CONSOL</t>
        </is>
      </c>
      <c r="D806" t="inlineStr">
        <is>
          <t>Current</t>
        </is>
      </c>
      <c r="E806" t="n">
        <v>0</v>
      </c>
      <c r="F806" t="n">
        <v>101</v>
      </c>
      <c r="G806" t="n">
        <v>15333815.9</v>
      </c>
      <c r="H806">
        <f>IFERROR(VLOOKUP(C806,Lookups!$A$3:$C$7,3,FALSE),"UNMAPPED")</f>
        <v/>
      </c>
    </row>
    <row r="807">
      <c r="A807" s="5" t="n">
        <v>45961</v>
      </c>
      <c r="B807" t="inlineStr">
        <is>
          <t>CZ</t>
        </is>
      </c>
      <c r="C807" t="inlineStr">
        <is>
          <t>CC_CONSOL</t>
        </is>
      </c>
      <c r="D807" t="inlineStr">
        <is>
          <t>1-29</t>
        </is>
      </c>
      <c r="E807" t="n">
        <v>1</v>
      </c>
      <c r="F807" t="n">
        <v>3</v>
      </c>
      <c r="G807" t="n">
        <v>491195.8</v>
      </c>
      <c r="H807">
        <f>IFERROR(VLOOKUP(C807,Lookups!$A$3:$C$7,3,FALSE),"UNMAPPED")</f>
        <v/>
      </c>
    </row>
    <row r="808">
      <c r="A808" s="5" t="n">
        <v>45961</v>
      </c>
      <c r="B808" t="inlineStr">
        <is>
          <t>CZ</t>
        </is>
      </c>
      <c r="C808" t="inlineStr">
        <is>
          <t>CC_GOLD</t>
        </is>
      </c>
      <c r="D808" t="inlineStr">
        <is>
          <t>Current</t>
        </is>
      </c>
      <c r="E808" t="n">
        <v>0</v>
      </c>
      <c r="F808" t="n">
        <v>341</v>
      </c>
      <c r="G808" t="n">
        <v>20861680.22</v>
      </c>
      <c r="H808">
        <f>IFERROR(VLOOKUP(C808,Lookups!$A$3:$C$7,3,FALSE),"UNMAPPED")</f>
        <v/>
      </c>
    </row>
    <row r="809">
      <c r="A809" s="5" t="n">
        <v>45961</v>
      </c>
      <c r="B809" t="inlineStr">
        <is>
          <t>CZ</t>
        </is>
      </c>
      <c r="C809" t="inlineStr">
        <is>
          <t>CC_GOLD</t>
        </is>
      </c>
      <c r="D809" t="inlineStr">
        <is>
          <t>1-29</t>
        </is>
      </c>
      <c r="E809" t="n">
        <v>1</v>
      </c>
      <c r="F809" t="n">
        <v>3</v>
      </c>
      <c r="G809" t="n">
        <v>257029.66</v>
      </c>
      <c r="H809">
        <f>IFERROR(VLOOKUP(C809,Lookups!$A$3:$C$7,3,FALSE),"UNMAPPED")</f>
        <v/>
      </c>
    </row>
    <row r="810">
      <c r="A810" s="5" t="n">
        <v>45961</v>
      </c>
      <c r="B810" t="inlineStr">
        <is>
          <t>CZ</t>
        </is>
      </c>
      <c r="C810" t="inlineStr">
        <is>
          <t>CC_GOLD</t>
        </is>
      </c>
      <c r="D810" t="inlineStr">
        <is>
          <t>30-59</t>
        </is>
      </c>
      <c r="E810" t="n">
        <v>30</v>
      </c>
      <c r="F810" t="n">
        <v>1</v>
      </c>
      <c r="G810" t="n">
        <v>134640.67</v>
      </c>
      <c r="H810">
        <f>IFERROR(VLOOKUP(C810,Lookups!$A$3:$C$7,3,FALSE),"UNMAPPED")</f>
        <v/>
      </c>
    </row>
    <row r="811">
      <c r="A811" s="5" t="n">
        <v>45961</v>
      </c>
      <c r="B811" t="inlineStr">
        <is>
          <t>CZ</t>
        </is>
      </c>
      <c r="C811" t="inlineStr">
        <is>
          <t>CC_GOLD</t>
        </is>
      </c>
      <c r="D811" t="inlineStr">
        <is>
          <t>90-179</t>
        </is>
      </c>
      <c r="E811" t="n">
        <v>90</v>
      </c>
      <c r="F811" t="n">
        <v>8</v>
      </c>
      <c r="G811" t="n">
        <v>478303.49</v>
      </c>
      <c r="H811">
        <f>IFERROR(VLOOKUP(C811,Lookups!$A$3:$C$7,3,FALSE),"UNMAPPED")</f>
        <v/>
      </c>
    </row>
    <row r="812">
      <c r="A812" s="5" t="n">
        <v>45961</v>
      </c>
      <c r="B812" t="inlineStr">
        <is>
          <t>CZ</t>
        </is>
      </c>
      <c r="C812" t="inlineStr">
        <is>
          <t>PL_PREM</t>
        </is>
      </c>
      <c r="D812" t="inlineStr">
        <is>
          <t>Current</t>
        </is>
      </c>
      <c r="E812" t="n">
        <v>0</v>
      </c>
      <c r="F812" t="n">
        <v>344</v>
      </c>
      <c r="G812" t="n">
        <v>79307039.83</v>
      </c>
      <c r="H812">
        <f>IFERROR(VLOOKUP(C812,Lookups!$A$3:$C$7,3,FALSE),"UNMAPPED")</f>
        <v/>
      </c>
    </row>
    <row r="813">
      <c r="A813" s="5" t="n">
        <v>45961</v>
      </c>
      <c r="B813" t="inlineStr">
        <is>
          <t>CZ</t>
        </is>
      </c>
      <c r="C813" t="inlineStr">
        <is>
          <t>PL_PREM</t>
        </is>
      </c>
      <c r="D813" t="inlineStr">
        <is>
          <t>1-29</t>
        </is>
      </c>
      <c r="E813" t="n">
        <v>1</v>
      </c>
      <c r="F813" t="n">
        <v>5</v>
      </c>
      <c r="G813" t="n">
        <v>829093.33</v>
      </c>
      <c r="H813">
        <f>IFERROR(VLOOKUP(C813,Lookups!$A$3:$C$7,3,FALSE),"UNMAPPED")</f>
        <v/>
      </c>
    </row>
    <row r="814">
      <c r="A814" s="5" t="n">
        <v>45961</v>
      </c>
      <c r="B814" t="inlineStr">
        <is>
          <t>CZ</t>
        </is>
      </c>
      <c r="C814" t="inlineStr">
        <is>
          <t>PL_PREM</t>
        </is>
      </c>
      <c r="D814" t="inlineStr">
        <is>
          <t>30-59</t>
        </is>
      </c>
      <c r="E814" t="n">
        <v>30</v>
      </c>
      <c r="F814" t="n">
        <v>4</v>
      </c>
      <c r="G814" t="n">
        <v>824917.5699999999</v>
      </c>
      <c r="H814">
        <f>IFERROR(VLOOKUP(C814,Lookups!$A$3:$C$7,3,FALSE),"UNMAPPED")</f>
        <v/>
      </c>
    </row>
    <row r="815">
      <c r="A815" s="5" t="n">
        <v>45961</v>
      </c>
      <c r="B815" t="inlineStr">
        <is>
          <t>CZ</t>
        </is>
      </c>
      <c r="C815" t="inlineStr">
        <is>
          <t>PL_PREM</t>
        </is>
      </c>
      <c r="D815" t="inlineStr">
        <is>
          <t>60-89</t>
        </is>
      </c>
      <c r="E815" t="n">
        <v>60</v>
      </c>
      <c r="F815" t="n">
        <v>2</v>
      </c>
      <c r="G815" t="n">
        <v>425491.28</v>
      </c>
      <c r="H815">
        <f>IFERROR(VLOOKUP(C815,Lookups!$A$3:$C$7,3,FALSE),"UNMAPPED")</f>
        <v/>
      </c>
    </row>
    <row r="816">
      <c r="A816" s="5" t="n">
        <v>45961</v>
      </c>
      <c r="B816" t="inlineStr">
        <is>
          <t>CZ</t>
        </is>
      </c>
      <c r="C816" t="inlineStr">
        <is>
          <t>PL_PREM</t>
        </is>
      </c>
      <c r="D816" t="inlineStr">
        <is>
          <t>90-179</t>
        </is>
      </c>
      <c r="E816" t="n">
        <v>90</v>
      </c>
      <c r="F816" t="n">
        <v>9</v>
      </c>
      <c r="G816" t="n">
        <v>2454669.57</v>
      </c>
      <c r="H816">
        <f>IFERROR(VLOOKUP(C816,Lookups!$A$3:$C$7,3,FALSE),"UNMAPPED")</f>
        <v/>
      </c>
    </row>
    <row r="817">
      <c r="A817" s="5" t="n">
        <v>45961</v>
      </c>
      <c r="B817" t="inlineStr">
        <is>
          <t>CZ</t>
        </is>
      </c>
      <c r="C817" t="inlineStr">
        <is>
          <t>PL_STD</t>
        </is>
      </c>
      <c r="D817" t="inlineStr">
        <is>
          <t>Current</t>
        </is>
      </c>
      <c r="E817" t="n">
        <v>0</v>
      </c>
      <c r="F817" t="n">
        <v>853</v>
      </c>
      <c r="G817" t="n">
        <v>59082553.03</v>
      </c>
      <c r="H817">
        <f>IFERROR(VLOOKUP(C817,Lookups!$A$3:$C$7,3,FALSE),"UNMAPPED")</f>
        <v/>
      </c>
    </row>
    <row r="818">
      <c r="A818" s="5" t="n">
        <v>45961</v>
      </c>
      <c r="B818" t="inlineStr">
        <is>
          <t>CZ</t>
        </is>
      </c>
      <c r="C818" t="inlineStr">
        <is>
          <t>PL_STD</t>
        </is>
      </c>
      <c r="D818" t="inlineStr">
        <is>
          <t>1-29</t>
        </is>
      </c>
      <c r="E818" t="n">
        <v>1</v>
      </c>
      <c r="F818" t="n">
        <v>19</v>
      </c>
      <c r="G818" t="n">
        <v>1363917.18</v>
      </c>
      <c r="H818">
        <f>IFERROR(VLOOKUP(C818,Lookups!$A$3:$C$7,3,FALSE),"UNMAPPED")</f>
        <v/>
      </c>
    </row>
    <row r="819">
      <c r="A819" s="5" t="n">
        <v>45961</v>
      </c>
      <c r="B819" t="inlineStr">
        <is>
          <t>CZ</t>
        </is>
      </c>
      <c r="C819" t="inlineStr">
        <is>
          <t>PL_STD</t>
        </is>
      </c>
      <c r="D819" t="inlineStr">
        <is>
          <t>30-59</t>
        </is>
      </c>
      <c r="E819" t="n">
        <v>30</v>
      </c>
      <c r="F819" t="n">
        <v>6</v>
      </c>
      <c r="G819" t="n">
        <v>518567.01</v>
      </c>
      <c r="H819">
        <f>IFERROR(VLOOKUP(C819,Lookups!$A$3:$C$7,3,FALSE),"UNMAPPED")</f>
        <v/>
      </c>
    </row>
    <row r="820">
      <c r="A820" s="5" t="n">
        <v>45961</v>
      </c>
      <c r="B820" t="inlineStr">
        <is>
          <t>CZ</t>
        </is>
      </c>
      <c r="C820" t="inlineStr">
        <is>
          <t>PL_STD</t>
        </is>
      </c>
      <c r="D820" t="inlineStr">
        <is>
          <t>60-89</t>
        </is>
      </c>
      <c r="E820" t="n">
        <v>60</v>
      </c>
      <c r="F820" t="n">
        <v>4</v>
      </c>
      <c r="G820" t="n">
        <v>319395.57</v>
      </c>
      <c r="H820">
        <f>IFERROR(VLOOKUP(C820,Lookups!$A$3:$C$7,3,FALSE),"UNMAPPED")</f>
        <v/>
      </c>
    </row>
    <row r="821">
      <c r="A821" s="5" t="n">
        <v>45961</v>
      </c>
      <c r="B821" t="inlineStr">
        <is>
          <t>CZ</t>
        </is>
      </c>
      <c r="C821" t="inlineStr">
        <is>
          <t>PL_STD</t>
        </is>
      </c>
      <c r="D821" t="inlineStr">
        <is>
          <t>90-179</t>
        </is>
      </c>
      <c r="E821" t="n">
        <v>90</v>
      </c>
      <c r="F821" t="n">
        <v>7</v>
      </c>
      <c r="G821" t="n">
        <v>432966.98</v>
      </c>
      <c r="H821">
        <f>IFERROR(VLOOKUP(C821,Lookups!$A$3:$C$7,3,FALSE),"UNMAPPED")</f>
        <v/>
      </c>
    </row>
    <row r="822">
      <c r="A822" s="5" t="n">
        <v>45961</v>
      </c>
      <c r="B822" t="inlineStr">
        <is>
          <t>PL</t>
        </is>
      </c>
      <c r="C822" t="inlineStr">
        <is>
          <t>CC_CLASSIC</t>
        </is>
      </c>
      <c r="D822" t="inlineStr">
        <is>
          <t>Current</t>
        </is>
      </c>
      <c r="E822" t="n">
        <v>0</v>
      </c>
      <c r="F822" t="n">
        <v>1697</v>
      </c>
      <c r="G822" t="n">
        <v>4861456.7</v>
      </c>
      <c r="H822">
        <f>IFERROR(VLOOKUP(C822,Lookups!$A$3:$C$7,3,FALSE),"UNMAPPED")</f>
        <v/>
      </c>
    </row>
    <row r="823">
      <c r="A823" s="5" t="n">
        <v>45961</v>
      </c>
      <c r="B823" t="inlineStr">
        <is>
          <t>PL</t>
        </is>
      </c>
      <c r="C823" t="inlineStr">
        <is>
          <t>CC_CLASSIC</t>
        </is>
      </c>
      <c r="D823" t="inlineStr">
        <is>
          <t>1-29</t>
        </is>
      </c>
      <c r="E823" t="n">
        <v>1</v>
      </c>
      <c r="F823" t="n">
        <v>17</v>
      </c>
      <c r="G823" t="n">
        <v>37818.02</v>
      </c>
      <c r="H823">
        <f>IFERROR(VLOOKUP(C823,Lookups!$A$3:$C$7,3,FALSE),"UNMAPPED")</f>
        <v/>
      </c>
    </row>
    <row r="824">
      <c r="A824" s="5" t="n">
        <v>45961</v>
      </c>
      <c r="B824" t="inlineStr">
        <is>
          <t>PL</t>
        </is>
      </c>
      <c r="C824" t="inlineStr">
        <is>
          <t>CC_CLASSIC</t>
        </is>
      </c>
      <c r="D824" t="inlineStr">
        <is>
          <t>30-59</t>
        </is>
      </c>
      <c r="E824" t="n">
        <v>30</v>
      </c>
      <c r="F824" t="n">
        <v>16</v>
      </c>
      <c r="G824" t="n">
        <v>51866.04</v>
      </c>
      <c r="H824">
        <f>IFERROR(VLOOKUP(C824,Lookups!$A$3:$C$7,3,FALSE),"UNMAPPED")</f>
        <v/>
      </c>
    </row>
    <row r="825">
      <c r="A825" s="5" t="n">
        <v>45961</v>
      </c>
      <c r="B825" t="inlineStr">
        <is>
          <t>PL</t>
        </is>
      </c>
      <c r="C825" t="inlineStr">
        <is>
          <t>CC_CLASSIC</t>
        </is>
      </c>
      <c r="D825" t="inlineStr">
        <is>
          <t>60-89</t>
        </is>
      </c>
      <c r="E825" t="n">
        <v>60</v>
      </c>
      <c r="F825" t="n">
        <v>13</v>
      </c>
      <c r="G825" t="n">
        <v>35120.57</v>
      </c>
      <c r="H825">
        <f>IFERROR(VLOOKUP(C825,Lookups!$A$3:$C$7,3,FALSE),"UNMAPPED")</f>
        <v/>
      </c>
    </row>
    <row r="826">
      <c r="A826" s="5" t="n">
        <v>45961</v>
      </c>
      <c r="B826" t="inlineStr">
        <is>
          <t>PL</t>
        </is>
      </c>
      <c r="C826" t="inlineStr">
        <is>
          <t>CC_CLASSIC</t>
        </is>
      </c>
      <c r="D826" t="inlineStr">
        <is>
          <t>90-179</t>
        </is>
      </c>
      <c r="E826" t="n">
        <v>90</v>
      </c>
      <c r="F826" t="n">
        <v>25</v>
      </c>
      <c r="G826" t="n">
        <v>94449.88</v>
      </c>
      <c r="H826">
        <f>IFERROR(VLOOKUP(C826,Lookups!$A$3:$C$7,3,FALSE),"UNMAPPED")</f>
        <v/>
      </c>
    </row>
    <row r="827">
      <c r="A827" s="5" t="n">
        <v>45961</v>
      </c>
      <c r="B827" t="inlineStr">
        <is>
          <t>PL</t>
        </is>
      </c>
      <c r="C827" t="inlineStr">
        <is>
          <t>CC_CONSOL</t>
        </is>
      </c>
      <c r="D827" t="inlineStr">
        <is>
          <t>Current</t>
        </is>
      </c>
      <c r="E827" t="n">
        <v>0</v>
      </c>
      <c r="F827" t="n">
        <v>121</v>
      </c>
      <c r="G827" t="n">
        <v>3368218.76</v>
      </c>
      <c r="H827">
        <f>IFERROR(VLOOKUP(C827,Lookups!$A$3:$C$7,3,FALSE),"UNMAPPED")</f>
        <v/>
      </c>
    </row>
    <row r="828">
      <c r="A828" s="5" t="n">
        <v>45961</v>
      </c>
      <c r="B828" t="inlineStr">
        <is>
          <t>PL</t>
        </is>
      </c>
      <c r="C828" t="inlineStr">
        <is>
          <t>CC_CONSOL</t>
        </is>
      </c>
      <c r="D828" t="inlineStr">
        <is>
          <t>1-29</t>
        </is>
      </c>
      <c r="E828" t="n">
        <v>1</v>
      </c>
      <c r="F828" t="n">
        <v>2</v>
      </c>
      <c r="G828" t="n">
        <v>45724.31</v>
      </c>
      <c r="H828">
        <f>IFERROR(VLOOKUP(C828,Lookups!$A$3:$C$7,3,FALSE),"UNMAPPED")</f>
        <v/>
      </c>
    </row>
    <row r="829">
      <c r="A829" s="5" t="n">
        <v>45961</v>
      </c>
      <c r="B829" t="inlineStr">
        <is>
          <t>PL</t>
        </is>
      </c>
      <c r="C829" t="inlineStr">
        <is>
          <t>CC_CONSOL</t>
        </is>
      </c>
      <c r="D829" t="inlineStr">
        <is>
          <t>30-59</t>
        </is>
      </c>
      <c r="E829" t="n">
        <v>30</v>
      </c>
      <c r="F829" t="n">
        <v>2</v>
      </c>
      <c r="G829" t="n">
        <v>57213.17</v>
      </c>
      <c r="H829">
        <f>IFERROR(VLOOKUP(C829,Lookups!$A$3:$C$7,3,FALSE),"UNMAPPED")</f>
        <v/>
      </c>
    </row>
    <row r="830">
      <c r="A830" s="5" t="n">
        <v>45961</v>
      </c>
      <c r="B830" t="inlineStr">
        <is>
          <t>PL</t>
        </is>
      </c>
      <c r="C830" t="inlineStr">
        <is>
          <t>CC_CONSOL</t>
        </is>
      </c>
      <c r="D830" t="inlineStr">
        <is>
          <t>60-89</t>
        </is>
      </c>
      <c r="E830" t="n">
        <v>60</v>
      </c>
      <c r="F830" t="n">
        <v>2</v>
      </c>
      <c r="G830" t="n">
        <v>48612.56</v>
      </c>
      <c r="H830">
        <f>IFERROR(VLOOKUP(C830,Lookups!$A$3:$C$7,3,FALSE),"UNMAPPED")</f>
        <v/>
      </c>
    </row>
    <row r="831">
      <c r="A831" s="5" t="n">
        <v>45961</v>
      </c>
      <c r="B831" t="inlineStr">
        <is>
          <t>PL</t>
        </is>
      </c>
      <c r="C831" t="inlineStr">
        <is>
          <t>CC_CONSOL</t>
        </is>
      </c>
      <c r="D831" t="inlineStr">
        <is>
          <t>90-179</t>
        </is>
      </c>
      <c r="E831" t="n">
        <v>90</v>
      </c>
      <c r="F831" t="n">
        <v>2</v>
      </c>
      <c r="G831" t="n">
        <v>53036.08</v>
      </c>
      <c r="H831">
        <f>IFERROR(VLOOKUP(C831,Lookups!$A$3:$C$7,3,FALSE),"UNMAPPED")</f>
        <v/>
      </c>
    </row>
    <row r="832">
      <c r="A832" s="5" t="n">
        <v>45961</v>
      </c>
      <c r="B832" t="inlineStr">
        <is>
          <t>PL</t>
        </is>
      </c>
      <c r="C832" t="inlineStr">
        <is>
          <t>CC_GOLD</t>
        </is>
      </c>
      <c r="D832" t="inlineStr">
        <is>
          <t>Current</t>
        </is>
      </c>
      <c r="E832" t="n">
        <v>0</v>
      </c>
      <c r="F832" t="n">
        <v>498</v>
      </c>
      <c r="G832" t="n">
        <v>4966234.23</v>
      </c>
      <c r="H832">
        <f>IFERROR(VLOOKUP(C832,Lookups!$A$3:$C$7,3,FALSE),"UNMAPPED")</f>
        <v/>
      </c>
    </row>
    <row r="833">
      <c r="A833" s="5" t="n">
        <v>45961</v>
      </c>
      <c r="B833" t="inlineStr">
        <is>
          <t>PL</t>
        </is>
      </c>
      <c r="C833" t="inlineStr">
        <is>
          <t>CC_GOLD</t>
        </is>
      </c>
      <c r="D833" t="inlineStr">
        <is>
          <t>1-29</t>
        </is>
      </c>
      <c r="E833" t="n">
        <v>1</v>
      </c>
      <c r="F833" t="n">
        <v>8</v>
      </c>
      <c r="G833" t="n">
        <v>116179.85</v>
      </c>
      <c r="H833">
        <f>IFERROR(VLOOKUP(C833,Lookups!$A$3:$C$7,3,FALSE),"UNMAPPED")</f>
        <v/>
      </c>
    </row>
    <row r="834">
      <c r="A834" s="5" t="n">
        <v>45961</v>
      </c>
      <c r="B834" t="inlineStr">
        <is>
          <t>PL</t>
        </is>
      </c>
      <c r="C834" t="inlineStr">
        <is>
          <t>CC_GOLD</t>
        </is>
      </c>
      <c r="D834" t="inlineStr">
        <is>
          <t>30-59</t>
        </is>
      </c>
      <c r="E834" t="n">
        <v>30</v>
      </c>
      <c r="F834" t="n">
        <v>6</v>
      </c>
      <c r="G834" t="n">
        <v>57016.4</v>
      </c>
      <c r="H834">
        <f>IFERROR(VLOOKUP(C834,Lookups!$A$3:$C$7,3,FALSE),"UNMAPPED")</f>
        <v/>
      </c>
    </row>
    <row r="835">
      <c r="A835" s="5" t="n">
        <v>45961</v>
      </c>
      <c r="B835" t="inlineStr">
        <is>
          <t>PL</t>
        </is>
      </c>
      <c r="C835" t="inlineStr">
        <is>
          <t>CC_GOLD</t>
        </is>
      </c>
      <c r="D835" t="inlineStr">
        <is>
          <t>60-89</t>
        </is>
      </c>
      <c r="E835" t="n">
        <v>60</v>
      </c>
      <c r="F835" t="n">
        <v>4</v>
      </c>
      <c r="G835" t="n">
        <v>29512.5</v>
      </c>
      <c r="H835">
        <f>IFERROR(VLOOKUP(C835,Lookups!$A$3:$C$7,3,FALSE),"UNMAPPED")</f>
        <v/>
      </c>
    </row>
    <row r="836">
      <c r="A836" s="5" t="n">
        <v>45961</v>
      </c>
      <c r="B836" t="inlineStr">
        <is>
          <t>PL</t>
        </is>
      </c>
      <c r="C836" t="inlineStr">
        <is>
          <t>CC_GOLD</t>
        </is>
      </c>
      <c r="D836" t="inlineStr">
        <is>
          <t>90-179</t>
        </is>
      </c>
      <c r="E836" t="n">
        <v>90</v>
      </c>
      <c r="F836" t="n">
        <v>9</v>
      </c>
      <c r="G836" t="n">
        <v>108735.05</v>
      </c>
      <c r="H836">
        <f>IFERROR(VLOOKUP(C836,Lookups!$A$3:$C$7,3,FALSE),"UNMAPPED")</f>
        <v/>
      </c>
    </row>
    <row r="837">
      <c r="A837" s="5" t="n">
        <v>45961</v>
      </c>
      <c r="B837" t="inlineStr">
        <is>
          <t>PL</t>
        </is>
      </c>
      <c r="C837" t="inlineStr">
        <is>
          <t>PL_PREM</t>
        </is>
      </c>
      <c r="D837" t="inlineStr">
        <is>
          <t>Current</t>
        </is>
      </c>
      <c r="E837" t="n">
        <v>0</v>
      </c>
      <c r="F837" t="n">
        <v>519</v>
      </c>
      <c r="G837" t="n">
        <v>20626327.58</v>
      </c>
      <c r="H837">
        <f>IFERROR(VLOOKUP(C837,Lookups!$A$3:$C$7,3,FALSE),"UNMAPPED")</f>
        <v/>
      </c>
    </row>
    <row r="838">
      <c r="A838" s="5" t="n">
        <v>45961</v>
      </c>
      <c r="B838" t="inlineStr">
        <is>
          <t>PL</t>
        </is>
      </c>
      <c r="C838" t="inlineStr">
        <is>
          <t>PL_PREM</t>
        </is>
      </c>
      <c r="D838" t="inlineStr">
        <is>
          <t>1-29</t>
        </is>
      </c>
      <c r="E838" t="n">
        <v>1</v>
      </c>
      <c r="F838" t="n">
        <v>10</v>
      </c>
      <c r="G838" t="n">
        <v>615194.66</v>
      </c>
      <c r="H838">
        <f>IFERROR(VLOOKUP(C838,Lookups!$A$3:$C$7,3,FALSE),"UNMAPPED")</f>
        <v/>
      </c>
    </row>
    <row r="839">
      <c r="A839" s="5" t="n">
        <v>45961</v>
      </c>
      <c r="B839" t="inlineStr">
        <is>
          <t>PL</t>
        </is>
      </c>
      <c r="C839" t="inlineStr">
        <is>
          <t>PL_PREM</t>
        </is>
      </c>
      <c r="D839" t="inlineStr">
        <is>
          <t>30-59</t>
        </is>
      </c>
      <c r="E839" t="n">
        <v>30</v>
      </c>
      <c r="F839" t="n">
        <v>6</v>
      </c>
      <c r="G839" t="n">
        <v>316655.72</v>
      </c>
      <c r="H839">
        <f>IFERROR(VLOOKUP(C839,Lookups!$A$3:$C$7,3,FALSE),"UNMAPPED")</f>
        <v/>
      </c>
    </row>
    <row r="840">
      <c r="A840" s="5" t="n">
        <v>45961</v>
      </c>
      <c r="B840" t="inlineStr">
        <is>
          <t>PL</t>
        </is>
      </c>
      <c r="C840" t="inlineStr">
        <is>
          <t>PL_PREM</t>
        </is>
      </c>
      <c r="D840" t="inlineStr">
        <is>
          <t>60-89</t>
        </is>
      </c>
      <c r="E840" t="n">
        <v>60</v>
      </c>
      <c r="F840" t="n">
        <v>3</v>
      </c>
      <c r="G840" t="n">
        <v>175683.18</v>
      </c>
      <c r="H840">
        <f>IFERROR(VLOOKUP(C840,Lookups!$A$3:$C$7,3,FALSE),"UNMAPPED")</f>
        <v/>
      </c>
    </row>
    <row r="841">
      <c r="A841" s="5" t="n">
        <v>45961</v>
      </c>
      <c r="B841" t="inlineStr">
        <is>
          <t>PL</t>
        </is>
      </c>
      <c r="C841" t="inlineStr">
        <is>
          <t>PL_PREM</t>
        </is>
      </c>
      <c r="D841" t="inlineStr">
        <is>
          <t>90-179</t>
        </is>
      </c>
      <c r="E841" t="n">
        <v>90</v>
      </c>
      <c r="F841" t="n">
        <v>8</v>
      </c>
      <c r="G841" t="n">
        <v>309829.95</v>
      </c>
      <c r="H841">
        <f>IFERROR(VLOOKUP(C841,Lookups!$A$3:$C$7,3,FALSE),"UNMAPPED")</f>
        <v/>
      </c>
    </row>
    <row r="842">
      <c r="A842" s="5" t="n">
        <v>45961</v>
      </c>
      <c r="B842" t="inlineStr">
        <is>
          <t>PL</t>
        </is>
      </c>
      <c r="C842" t="inlineStr">
        <is>
          <t>PL_STD</t>
        </is>
      </c>
      <c r="D842" t="inlineStr">
        <is>
          <t>Current</t>
        </is>
      </c>
      <c r="E842" t="n">
        <v>0</v>
      </c>
      <c r="F842" t="n">
        <v>1148</v>
      </c>
      <c r="G842" t="n">
        <v>13328760.53</v>
      </c>
      <c r="H842">
        <f>IFERROR(VLOOKUP(C842,Lookups!$A$3:$C$7,3,FALSE),"UNMAPPED")</f>
        <v/>
      </c>
    </row>
    <row r="843">
      <c r="A843" s="5" t="n">
        <v>45961</v>
      </c>
      <c r="B843" t="inlineStr">
        <is>
          <t>PL</t>
        </is>
      </c>
      <c r="C843" t="inlineStr">
        <is>
          <t>PL_STD</t>
        </is>
      </c>
      <c r="D843" t="inlineStr">
        <is>
          <t>1-29</t>
        </is>
      </c>
      <c r="E843" t="n">
        <v>1</v>
      </c>
      <c r="F843" t="n">
        <v>17</v>
      </c>
      <c r="G843" t="n">
        <v>257951.25</v>
      </c>
      <c r="H843">
        <f>IFERROR(VLOOKUP(C843,Lookups!$A$3:$C$7,3,FALSE),"UNMAPPED")</f>
        <v/>
      </c>
    </row>
    <row r="844">
      <c r="A844" s="5" t="n">
        <v>45961</v>
      </c>
      <c r="B844" t="inlineStr">
        <is>
          <t>PL</t>
        </is>
      </c>
      <c r="C844" t="inlineStr">
        <is>
          <t>PL_STD</t>
        </is>
      </c>
      <c r="D844" t="inlineStr">
        <is>
          <t>30-59</t>
        </is>
      </c>
      <c r="E844" t="n">
        <v>30</v>
      </c>
      <c r="F844" t="n">
        <v>10</v>
      </c>
      <c r="G844" t="n">
        <v>117665.75</v>
      </c>
      <c r="H844">
        <f>IFERROR(VLOOKUP(C844,Lookups!$A$3:$C$7,3,FALSE),"UNMAPPED")</f>
        <v/>
      </c>
    </row>
    <row r="845">
      <c r="A845" s="5" t="n">
        <v>45961</v>
      </c>
      <c r="B845" t="inlineStr">
        <is>
          <t>PL</t>
        </is>
      </c>
      <c r="C845" t="inlineStr">
        <is>
          <t>PL_STD</t>
        </is>
      </c>
      <c r="D845" t="inlineStr">
        <is>
          <t>60-89</t>
        </is>
      </c>
      <c r="E845" t="n">
        <v>60</v>
      </c>
      <c r="F845" t="n">
        <v>9</v>
      </c>
      <c r="G845" t="n">
        <v>111967.45</v>
      </c>
      <c r="H845">
        <f>IFERROR(VLOOKUP(C845,Lookups!$A$3:$C$7,3,FALSE),"UNMAPPED")</f>
        <v/>
      </c>
    </row>
    <row r="846">
      <c r="A846" s="5" t="n">
        <v>45961</v>
      </c>
      <c r="B846" t="inlineStr">
        <is>
          <t>PL</t>
        </is>
      </c>
      <c r="C846" t="inlineStr">
        <is>
          <t>PL_STD</t>
        </is>
      </c>
      <c r="D846" t="inlineStr">
        <is>
          <t>90-179</t>
        </is>
      </c>
      <c r="E846" t="n">
        <v>90</v>
      </c>
      <c r="F846" t="n">
        <v>20</v>
      </c>
      <c r="G846" t="n">
        <v>238052.27</v>
      </c>
      <c r="H846">
        <f>IFERROR(VLOOKUP(C846,Lookups!$A$3:$C$7,3,FALSE),"UNMAPPED")</f>
        <v/>
      </c>
    </row>
    <row r="847">
      <c r="A847" s="5" t="n">
        <v>45961</v>
      </c>
      <c r="B847" t="inlineStr">
        <is>
          <t>RO</t>
        </is>
      </c>
      <c r="C847" t="inlineStr">
        <is>
          <t>CC_CLASSIC</t>
        </is>
      </c>
      <c r="D847" t="inlineStr">
        <is>
          <t>Current</t>
        </is>
      </c>
      <c r="E847" t="n">
        <v>0</v>
      </c>
      <c r="F847" t="n">
        <v>942</v>
      </c>
      <c r="G847" t="n">
        <v>3273620.88</v>
      </c>
      <c r="H847">
        <f>IFERROR(VLOOKUP(C847,Lookups!$A$3:$C$7,3,FALSE),"UNMAPPED")</f>
        <v/>
      </c>
    </row>
    <row r="848">
      <c r="A848" s="5" t="n">
        <v>45961</v>
      </c>
      <c r="B848" t="inlineStr">
        <is>
          <t>RO</t>
        </is>
      </c>
      <c r="C848" t="inlineStr">
        <is>
          <t>CC_CLASSIC</t>
        </is>
      </c>
      <c r="D848" t="inlineStr">
        <is>
          <t>1-29</t>
        </is>
      </c>
      <c r="E848" t="n">
        <v>1</v>
      </c>
      <c r="F848" t="n">
        <v>14</v>
      </c>
      <c r="G848" t="n">
        <v>72715.08</v>
      </c>
      <c r="H848">
        <f>IFERROR(VLOOKUP(C848,Lookups!$A$3:$C$7,3,FALSE),"UNMAPPED")</f>
        <v/>
      </c>
    </row>
    <row r="849">
      <c r="A849" s="5" t="n">
        <v>45961</v>
      </c>
      <c r="B849" t="inlineStr">
        <is>
          <t>RO</t>
        </is>
      </c>
      <c r="C849" t="inlineStr">
        <is>
          <t>CC_CLASSIC</t>
        </is>
      </c>
      <c r="D849" t="inlineStr">
        <is>
          <t>30-59</t>
        </is>
      </c>
      <c r="E849" t="n">
        <v>30</v>
      </c>
      <c r="F849" t="n">
        <v>6</v>
      </c>
      <c r="G849" t="n">
        <v>19060.08</v>
      </c>
      <c r="H849">
        <f>IFERROR(VLOOKUP(C849,Lookups!$A$3:$C$7,3,FALSE),"UNMAPPED")</f>
        <v/>
      </c>
    </row>
    <row r="850">
      <c r="A850" s="5" t="n">
        <v>45961</v>
      </c>
      <c r="B850" t="inlineStr">
        <is>
          <t>RO</t>
        </is>
      </c>
      <c r="C850" t="inlineStr">
        <is>
          <t>CC_CLASSIC</t>
        </is>
      </c>
      <c r="D850" t="inlineStr">
        <is>
          <t>60-89</t>
        </is>
      </c>
      <c r="E850" t="n">
        <v>60</v>
      </c>
      <c r="F850" t="n">
        <v>8</v>
      </c>
      <c r="G850" t="n">
        <v>28687.26</v>
      </c>
      <c r="H850">
        <f>IFERROR(VLOOKUP(C850,Lookups!$A$3:$C$7,3,FALSE),"UNMAPPED")</f>
        <v/>
      </c>
    </row>
    <row r="851">
      <c r="A851" s="5" t="n">
        <v>45961</v>
      </c>
      <c r="B851" t="inlineStr">
        <is>
          <t>RO</t>
        </is>
      </c>
      <c r="C851" t="inlineStr">
        <is>
          <t>CC_CLASSIC</t>
        </is>
      </c>
      <c r="D851" t="inlineStr">
        <is>
          <t>90-179</t>
        </is>
      </c>
      <c r="E851" t="n">
        <v>90</v>
      </c>
      <c r="F851" t="n">
        <v>23</v>
      </c>
      <c r="G851" t="n">
        <v>61262.55</v>
      </c>
      <c r="H851">
        <f>IFERROR(VLOOKUP(C851,Lookups!$A$3:$C$7,3,FALSE),"UNMAPPED")</f>
        <v/>
      </c>
    </row>
    <row r="852">
      <c r="A852" s="5" t="n">
        <v>45961</v>
      </c>
      <c r="B852" t="inlineStr">
        <is>
          <t>RO</t>
        </is>
      </c>
      <c r="C852" t="inlineStr">
        <is>
          <t>CC_CONSOL</t>
        </is>
      </c>
      <c r="D852" t="inlineStr">
        <is>
          <t>Current</t>
        </is>
      </c>
      <c r="E852" t="n">
        <v>0</v>
      </c>
      <c r="F852" t="n">
        <v>71</v>
      </c>
      <c r="G852" t="n">
        <v>2353445.8</v>
      </c>
      <c r="H852">
        <f>IFERROR(VLOOKUP(C852,Lookups!$A$3:$C$7,3,FALSE),"UNMAPPED")</f>
        <v/>
      </c>
    </row>
    <row r="853">
      <c r="A853" s="5" t="n">
        <v>45961</v>
      </c>
      <c r="B853" t="inlineStr">
        <is>
          <t>RO</t>
        </is>
      </c>
      <c r="C853" t="inlineStr">
        <is>
          <t>CC_CONSOL</t>
        </is>
      </c>
      <c r="D853" t="inlineStr">
        <is>
          <t>1-29</t>
        </is>
      </c>
      <c r="E853" t="n">
        <v>1</v>
      </c>
      <c r="F853" t="n">
        <v>3</v>
      </c>
      <c r="G853" t="n">
        <v>74392.91</v>
      </c>
      <c r="H853">
        <f>IFERROR(VLOOKUP(C853,Lookups!$A$3:$C$7,3,FALSE),"UNMAPPED")</f>
        <v/>
      </c>
    </row>
    <row r="854">
      <c r="A854" s="5" t="n">
        <v>45961</v>
      </c>
      <c r="B854" t="inlineStr">
        <is>
          <t>RO</t>
        </is>
      </c>
      <c r="C854" t="inlineStr">
        <is>
          <t>CC_CONSOL</t>
        </is>
      </c>
      <c r="D854" t="inlineStr">
        <is>
          <t>30-59</t>
        </is>
      </c>
      <c r="E854" t="n">
        <v>30</v>
      </c>
      <c r="F854" t="n">
        <v>1</v>
      </c>
      <c r="G854" t="n">
        <v>39001.34</v>
      </c>
      <c r="H854">
        <f>IFERROR(VLOOKUP(C854,Lookups!$A$3:$C$7,3,FALSE),"UNMAPPED")</f>
        <v/>
      </c>
    </row>
    <row r="855">
      <c r="A855" s="5" t="n">
        <v>45961</v>
      </c>
      <c r="B855" t="inlineStr">
        <is>
          <t>RO</t>
        </is>
      </c>
      <c r="C855" t="inlineStr">
        <is>
          <t>CC_CONSOL</t>
        </is>
      </c>
      <c r="D855" t="inlineStr">
        <is>
          <t>60-89</t>
        </is>
      </c>
      <c r="E855" t="n">
        <v>60</v>
      </c>
      <c r="F855" t="n">
        <v>1</v>
      </c>
      <c r="G855" t="n">
        <v>51248.35</v>
      </c>
      <c r="H855">
        <f>IFERROR(VLOOKUP(C855,Lookups!$A$3:$C$7,3,FALSE),"UNMAPPED")</f>
        <v/>
      </c>
    </row>
    <row r="856">
      <c r="A856" s="5" t="n">
        <v>45961</v>
      </c>
      <c r="B856" t="inlineStr">
        <is>
          <t>RO</t>
        </is>
      </c>
      <c r="C856" t="inlineStr">
        <is>
          <t>CC_CONSOL</t>
        </is>
      </c>
      <c r="D856" t="inlineStr">
        <is>
          <t>90-179</t>
        </is>
      </c>
      <c r="E856" t="n">
        <v>90</v>
      </c>
      <c r="F856" t="n">
        <v>1</v>
      </c>
      <c r="G856" t="n">
        <v>63005.66</v>
      </c>
      <c r="H856">
        <f>IFERROR(VLOOKUP(C856,Lookups!$A$3:$C$7,3,FALSE),"UNMAPPED")</f>
        <v/>
      </c>
    </row>
    <row r="857">
      <c r="A857" s="5" t="n">
        <v>45961</v>
      </c>
      <c r="B857" t="inlineStr">
        <is>
          <t>RO</t>
        </is>
      </c>
      <c r="C857" t="inlineStr">
        <is>
          <t>CC_GOLD</t>
        </is>
      </c>
      <c r="D857" t="inlineStr">
        <is>
          <t>Current</t>
        </is>
      </c>
      <c r="E857" t="n">
        <v>0</v>
      </c>
      <c r="F857" t="n">
        <v>254</v>
      </c>
      <c r="G857" t="n">
        <v>2872670.55</v>
      </c>
      <c r="H857">
        <f>IFERROR(VLOOKUP(C857,Lookups!$A$3:$C$7,3,FALSE),"UNMAPPED")</f>
        <v/>
      </c>
    </row>
    <row r="858">
      <c r="A858" s="5" t="n">
        <v>45961</v>
      </c>
      <c r="B858" t="inlineStr">
        <is>
          <t>RO</t>
        </is>
      </c>
      <c r="C858" t="inlineStr">
        <is>
          <t>CC_GOLD</t>
        </is>
      </c>
      <c r="D858" t="inlineStr">
        <is>
          <t>1-29</t>
        </is>
      </c>
      <c r="E858" t="n">
        <v>1</v>
      </c>
      <c r="F858" t="n">
        <v>6</v>
      </c>
      <c r="G858" t="n">
        <v>44997.63</v>
      </c>
      <c r="H858">
        <f>IFERROR(VLOOKUP(C858,Lookups!$A$3:$C$7,3,FALSE),"UNMAPPED")</f>
        <v/>
      </c>
    </row>
    <row r="859">
      <c r="A859" s="5" t="n">
        <v>45961</v>
      </c>
      <c r="B859" t="inlineStr">
        <is>
          <t>RO</t>
        </is>
      </c>
      <c r="C859" t="inlineStr">
        <is>
          <t>CC_GOLD</t>
        </is>
      </c>
      <c r="D859" t="inlineStr">
        <is>
          <t>30-59</t>
        </is>
      </c>
      <c r="E859" t="n">
        <v>30</v>
      </c>
      <c r="F859" t="n">
        <v>4</v>
      </c>
      <c r="G859" t="n">
        <v>75390.53999999999</v>
      </c>
      <c r="H859">
        <f>IFERROR(VLOOKUP(C859,Lookups!$A$3:$C$7,3,FALSE),"UNMAPPED")</f>
        <v/>
      </c>
    </row>
    <row r="860">
      <c r="A860" s="5" t="n">
        <v>45961</v>
      </c>
      <c r="B860" t="inlineStr">
        <is>
          <t>RO</t>
        </is>
      </c>
      <c r="C860" t="inlineStr">
        <is>
          <t>CC_GOLD</t>
        </is>
      </c>
      <c r="D860" t="inlineStr">
        <is>
          <t>60-89</t>
        </is>
      </c>
      <c r="E860" t="n">
        <v>60</v>
      </c>
      <c r="F860" t="n">
        <v>3</v>
      </c>
      <c r="G860" t="n">
        <v>29100.29</v>
      </c>
      <c r="H860">
        <f>IFERROR(VLOOKUP(C860,Lookups!$A$3:$C$7,3,FALSE),"UNMAPPED")</f>
        <v/>
      </c>
    </row>
    <row r="861">
      <c r="A861" s="5" t="n">
        <v>45961</v>
      </c>
      <c r="B861" t="inlineStr">
        <is>
          <t>RO</t>
        </is>
      </c>
      <c r="C861" t="inlineStr">
        <is>
          <t>CC_GOLD</t>
        </is>
      </c>
      <c r="D861" t="inlineStr">
        <is>
          <t>90-179</t>
        </is>
      </c>
      <c r="E861" t="n">
        <v>90</v>
      </c>
      <c r="F861" t="n">
        <v>6</v>
      </c>
      <c r="G861" t="n">
        <v>97426.82000000001</v>
      </c>
      <c r="H861">
        <f>IFERROR(VLOOKUP(C861,Lookups!$A$3:$C$7,3,FALSE),"UNMAPPED")</f>
        <v/>
      </c>
    </row>
    <row r="862">
      <c r="A862" s="5" t="n">
        <v>45961</v>
      </c>
      <c r="B862" t="inlineStr">
        <is>
          <t>RO</t>
        </is>
      </c>
      <c r="C862" t="inlineStr">
        <is>
          <t>PL_PREM</t>
        </is>
      </c>
      <c r="D862" t="inlineStr">
        <is>
          <t>Current</t>
        </is>
      </c>
      <c r="E862" t="n">
        <v>0</v>
      </c>
      <c r="F862" t="n">
        <v>308</v>
      </c>
      <c r="G862" t="n">
        <v>14092270.13</v>
      </c>
      <c r="H862">
        <f>IFERROR(VLOOKUP(C862,Lookups!$A$3:$C$7,3,FALSE),"UNMAPPED")</f>
        <v/>
      </c>
    </row>
    <row r="863">
      <c r="A863" s="5" t="n">
        <v>45961</v>
      </c>
      <c r="B863" t="inlineStr">
        <is>
          <t>RO</t>
        </is>
      </c>
      <c r="C863" t="inlineStr">
        <is>
          <t>PL_PREM</t>
        </is>
      </c>
      <c r="D863" t="inlineStr">
        <is>
          <t>1-29</t>
        </is>
      </c>
      <c r="E863" t="n">
        <v>1</v>
      </c>
      <c r="F863" t="n">
        <v>4</v>
      </c>
      <c r="G863" t="n">
        <v>222856.81</v>
      </c>
      <c r="H863">
        <f>IFERROR(VLOOKUP(C863,Lookups!$A$3:$C$7,3,FALSE),"UNMAPPED")</f>
        <v/>
      </c>
    </row>
    <row r="864">
      <c r="A864" s="5" t="n">
        <v>45961</v>
      </c>
      <c r="B864" t="inlineStr">
        <is>
          <t>RO</t>
        </is>
      </c>
      <c r="C864" t="inlineStr">
        <is>
          <t>PL_PREM</t>
        </is>
      </c>
      <c r="D864" t="inlineStr">
        <is>
          <t>30-59</t>
        </is>
      </c>
      <c r="E864" t="n">
        <v>30</v>
      </c>
      <c r="F864" t="n">
        <v>4</v>
      </c>
      <c r="G864" t="n">
        <v>211029.53</v>
      </c>
      <c r="H864">
        <f>IFERROR(VLOOKUP(C864,Lookups!$A$3:$C$7,3,FALSE),"UNMAPPED")</f>
        <v/>
      </c>
    </row>
    <row r="865">
      <c r="A865" s="5" t="n">
        <v>45961</v>
      </c>
      <c r="B865" t="inlineStr">
        <is>
          <t>RO</t>
        </is>
      </c>
      <c r="C865" t="inlineStr">
        <is>
          <t>PL_PREM</t>
        </is>
      </c>
      <c r="D865" t="inlineStr">
        <is>
          <t>60-89</t>
        </is>
      </c>
      <c r="E865" t="n">
        <v>60</v>
      </c>
      <c r="F865" t="n">
        <v>2</v>
      </c>
      <c r="G865" t="n">
        <v>53629.42</v>
      </c>
      <c r="H865">
        <f>IFERROR(VLOOKUP(C865,Lookups!$A$3:$C$7,3,FALSE),"UNMAPPED")</f>
        <v/>
      </c>
    </row>
    <row r="866">
      <c r="A866" s="5" t="n">
        <v>45961</v>
      </c>
      <c r="B866" t="inlineStr">
        <is>
          <t>RO</t>
        </is>
      </c>
      <c r="C866" t="inlineStr">
        <is>
          <t>PL_PREM</t>
        </is>
      </c>
      <c r="D866" t="inlineStr">
        <is>
          <t>90-179</t>
        </is>
      </c>
      <c r="E866" t="n">
        <v>90</v>
      </c>
      <c r="F866" t="n">
        <v>5</v>
      </c>
      <c r="G866" t="n">
        <v>291751.65</v>
      </c>
      <c r="H866">
        <f>IFERROR(VLOOKUP(C866,Lookups!$A$3:$C$7,3,FALSE),"UNMAPPED")</f>
        <v/>
      </c>
    </row>
    <row r="867">
      <c r="A867" s="5" t="n">
        <v>45961</v>
      </c>
      <c r="B867" t="inlineStr">
        <is>
          <t>RO</t>
        </is>
      </c>
      <c r="C867" t="inlineStr">
        <is>
          <t>PL_STD</t>
        </is>
      </c>
      <c r="D867" t="inlineStr">
        <is>
          <t>Current</t>
        </is>
      </c>
      <c r="E867" t="n">
        <v>0</v>
      </c>
      <c r="F867" t="n">
        <v>763</v>
      </c>
      <c r="G867" t="n">
        <v>11020629.43</v>
      </c>
      <c r="H867">
        <f>IFERROR(VLOOKUP(C867,Lookups!$A$3:$C$7,3,FALSE),"UNMAPPED")</f>
        <v/>
      </c>
    </row>
    <row r="868">
      <c r="A868" s="5" t="n">
        <v>45961</v>
      </c>
      <c r="B868" t="inlineStr">
        <is>
          <t>RO</t>
        </is>
      </c>
      <c r="C868" t="inlineStr">
        <is>
          <t>PL_STD</t>
        </is>
      </c>
      <c r="D868" t="inlineStr">
        <is>
          <t>1-29</t>
        </is>
      </c>
      <c r="E868" t="n">
        <v>1</v>
      </c>
      <c r="F868" t="n">
        <v>16</v>
      </c>
      <c r="G868" t="n">
        <v>284389.5</v>
      </c>
      <c r="H868">
        <f>IFERROR(VLOOKUP(C868,Lookups!$A$3:$C$7,3,FALSE),"UNMAPPED")</f>
        <v/>
      </c>
    </row>
    <row r="869">
      <c r="A869" s="5" t="n">
        <v>45961</v>
      </c>
      <c r="B869" t="inlineStr">
        <is>
          <t>RO</t>
        </is>
      </c>
      <c r="C869" t="inlineStr">
        <is>
          <t>PL_STD</t>
        </is>
      </c>
      <c r="D869" t="inlineStr">
        <is>
          <t>30-59</t>
        </is>
      </c>
      <c r="E869" t="n">
        <v>30</v>
      </c>
      <c r="F869" t="n">
        <v>5</v>
      </c>
      <c r="G869" t="n">
        <v>69103.58</v>
      </c>
      <c r="H869">
        <f>IFERROR(VLOOKUP(C869,Lookups!$A$3:$C$7,3,FALSE),"UNMAPPED")</f>
        <v/>
      </c>
    </row>
    <row r="870">
      <c r="A870" s="5" t="n">
        <v>45961</v>
      </c>
      <c r="B870" t="inlineStr">
        <is>
          <t>RO</t>
        </is>
      </c>
      <c r="C870" t="inlineStr">
        <is>
          <t>PL_STD</t>
        </is>
      </c>
      <c r="D870" t="inlineStr">
        <is>
          <t>60-89</t>
        </is>
      </c>
      <c r="E870" t="n">
        <v>60</v>
      </c>
      <c r="F870" t="n">
        <v>2</v>
      </c>
      <c r="G870" t="n">
        <v>36854.54</v>
      </c>
      <c r="H870">
        <f>IFERROR(VLOOKUP(C870,Lookups!$A$3:$C$7,3,FALSE),"UNMAPPED")</f>
        <v/>
      </c>
    </row>
    <row r="871">
      <c r="A871" s="5" t="n">
        <v>45961</v>
      </c>
      <c r="B871" t="inlineStr">
        <is>
          <t>RO</t>
        </is>
      </c>
      <c r="C871" t="inlineStr">
        <is>
          <t>PL_STD</t>
        </is>
      </c>
      <c r="D871" t="inlineStr">
        <is>
          <t>90-179</t>
        </is>
      </c>
      <c r="E871" t="n">
        <v>90</v>
      </c>
      <c r="F871" t="n">
        <v>15</v>
      </c>
      <c r="G871" t="n">
        <v>253396.87</v>
      </c>
      <c r="H871">
        <f>IFERROR(VLOOKUP(C871,Lookups!$A$3:$C$7,3,FALSE),"UNMAPPED")</f>
        <v/>
      </c>
    </row>
    <row r="872">
      <c r="A872" s="5" t="n">
        <v>45991</v>
      </c>
      <c r="B872" t="inlineStr">
        <is>
          <t>CZ</t>
        </is>
      </c>
      <c r="C872" t="inlineStr">
        <is>
          <t>CC_CLASSIC</t>
        </is>
      </c>
      <c r="D872" t="inlineStr">
        <is>
          <t>Current</t>
        </is>
      </c>
      <c r="E872" t="n">
        <v>0</v>
      </c>
      <c r="F872" t="n">
        <v>1309</v>
      </c>
      <c r="G872" t="n">
        <v>21743207.74</v>
      </c>
      <c r="H872">
        <f>IFERROR(VLOOKUP(C872,Lookups!$A$3:$C$7,3,FALSE),"UNMAPPED")</f>
        <v/>
      </c>
    </row>
    <row r="873">
      <c r="A873" s="5" t="n">
        <v>45991</v>
      </c>
      <c r="B873" t="inlineStr">
        <is>
          <t>CZ</t>
        </is>
      </c>
      <c r="C873" t="inlineStr">
        <is>
          <t>CC_CLASSIC</t>
        </is>
      </c>
      <c r="D873" t="inlineStr">
        <is>
          <t>1-29</t>
        </is>
      </c>
      <c r="E873" t="n">
        <v>1</v>
      </c>
      <c r="F873" t="n">
        <v>17</v>
      </c>
      <c r="G873" t="n">
        <v>214672.98</v>
      </c>
      <c r="H873">
        <f>IFERROR(VLOOKUP(C873,Lookups!$A$3:$C$7,3,FALSE),"UNMAPPED")</f>
        <v/>
      </c>
    </row>
    <row r="874">
      <c r="A874" s="5" t="n">
        <v>45991</v>
      </c>
      <c r="B874" t="inlineStr">
        <is>
          <t>CZ</t>
        </is>
      </c>
      <c r="C874" t="inlineStr">
        <is>
          <t>CC_CLASSIC</t>
        </is>
      </c>
      <c r="D874" t="inlineStr">
        <is>
          <t>30-59</t>
        </is>
      </c>
      <c r="E874" t="n">
        <v>30</v>
      </c>
      <c r="F874" t="n">
        <v>5</v>
      </c>
      <c r="G874" t="n">
        <v>102457.99</v>
      </c>
      <c r="H874">
        <f>IFERROR(VLOOKUP(C874,Lookups!$A$3:$C$7,3,FALSE),"UNMAPPED")</f>
        <v/>
      </c>
    </row>
    <row r="875">
      <c r="A875" s="5" t="n">
        <v>45991</v>
      </c>
      <c r="B875" t="inlineStr">
        <is>
          <t>CZ</t>
        </is>
      </c>
      <c r="C875" t="inlineStr">
        <is>
          <t>CC_CLASSIC</t>
        </is>
      </c>
      <c r="D875" t="inlineStr">
        <is>
          <t>60-89</t>
        </is>
      </c>
      <c r="E875" t="n">
        <v>60</v>
      </c>
      <c r="F875" t="n">
        <v>9</v>
      </c>
      <c r="G875" t="n">
        <v>161604.79</v>
      </c>
      <c r="H875">
        <f>IFERROR(VLOOKUP(C875,Lookups!$A$3:$C$7,3,FALSE),"UNMAPPED")</f>
        <v/>
      </c>
    </row>
    <row r="876">
      <c r="A876" s="5" t="n">
        <v>45991</v>
      </c>
      <c r="B876" t="inlineStr">
        <is>
          <t>CZ</t>
        </is>
      </c>
      <c r="C876" t="inlineStr">
        <is>
          <t>CC_CLASSIC</t>
        </is>
      </c>
      <c r="D876" t="inlineStr">
        <is>
          <t>90-179</t>
        </is>
      </c>
      <c r="E876" t="n">
        <v>90</v>
      </c>
      <c r="F876" t="n">
        <v>18</v>
      </c>
      <c r="G876" t="n">
        <v>346384.64</v>
      </c>
      <c r="H876">
        <f>IFERROR(VLOOKUP(C876,Lookups!$A$3:$C$7,3,FALSE),"UNMAPPED")</f>
        <v/>
      </c>
    </row>
    <row r="877">
      <c r="A877" s="5" t="n">
        <v>45991</v>
      </c>
      <c r="B877" t="inlineStr">
        <is>
          <t>CZ</t>
        </is>
      </c>
      <c r="C877" t="inlineStr">
        <is>
          <t>CC_CONSOL</t>
        </is>
      </c>
      <c r="D877" t="inlineStr">
        <is>
          <t>Current</t>
        </is>
      </c>
      <c r="E877" t="n">
        <v>0</v>
      </c>
      <c r="F877" t="n">
        <v>111</v>
      </c>
      <c r="G877" t="n">
        <v>16503367.32</v>
      </c>
      <c r="H877">
        <f>IFERROR(VLOOKUP(C877,Lookups!$A$3:$C$7,3,FALSE),"UNMAPPED")</f>
        <v/>
      </c>
    </row>
    <row r="878">
      <c r="A878" s="5" t="n">
        <v>45991</v>
      </c>
      <c r="B878" t="inlineStr">
        <is>
          <t>CZ</t>
        </is>
      </c>
      <c r="C878" t="inlineStr">
        <is>
          <t>CC_CONSOL</t>
        </is>
      </c>
      <c r="D878" t="inlineStr">
        <is>
          <t>1-29</t>
        </is>
      </c>
      <c r="E878" t="n">
        <v>1</v>
      </c>
      <c r="F878" t="n">
        <v>2</v>
      </c>
      <c r="G878" t="n">
        <v>307606.1</v>
      </c>
      <c r="H878">
        <f>IFERROR(VLOOKUP(C878,Lookups!$A$3:$C$7,3,FALSE),"UNMAPPED")</f>
        <v/>
      </c>
    </row>
    <row r="879">
      <c r="A879" s="5" t="n">
        <v>45991</v>
      </c>
      <c r="B879" t="inlineStr">
        <is>
          <t>CZ</t>
        </is>
      </c>
      <c r="C879" t="inlineStr">
        <is>
          <t>CC_GOLD</t>
        </is>
      </c>
      <c r="D879" t="inlineStr">
        <is>
          <t>Current</t>
        </is>
      </c>
      <c r="E879" t="n">
        <v>0</v>
      </c>
      <c r="F879" t="n">
        <v>355</v>
      </c>
      <c r="G879" t="n">
        <v>20989276.2</v>
      </c>
      <c r="H879">
        <f>IFERROR(VLOOKUP(C879,Lookups!$A$3:$C$7,3,FALSE),"UNMAPPED")</f>
        <v/>
      </c>
    </row>
    <row r="880">
      <c r="A880" s="5" t="n">
        <v>45991</v>
      </c>
      <c r="B880" t="inlineStr">
        <is>
          <t>CZ</t>
        </is>
      </c>
      <c r="C880" t="inlineStr">
        <is>
          <t>CC_GOLD</t>
        </is>
      </c>
      <c r="D880" t="inlineStr">
        <is>
          <t>1-29</t>
        </is>
      </c>
      <c r="E880" t="n">
        <v>1</v>
      </c>
      <c r="F880" t="n">
        <v>5</v>
      </c>
      <c r="G880" t="n">
        <v>268357.1</v>
      </c>
      <c r="H880">
        <f>IFERROR(VLOOKUP(C880,Lookups!$A$3:$C$7,3,FALSE),"UNMAPPED")</f>
        <v/>
      </c>
    </row>
    <row r="881">
      <c r="A881" s="5" t="n">
        <v>45991</v>
      </c>
      <c r="B881" t="inlineStr">
        <is>
          <t>CZ</t>
        </is>
      </c>
      <c r="C881" t="inlineStr">
        <is>
          <t>CC_GOLD</t>
        </is>
      </c>
      <c r="D881" t="inlineStr">
        <is>
          <t>30-59</t>
        </is>
      </c>
      <c r="E881" t="n">
        <v>30</v>
      </c>
      <c r="F881" t="n">
        <v>2</v>
      </c>
      <c r="G881" t="n">
        <v>202843.89</v>
      </c>
      <c r="H881">
        <f>IFERROR(VLOOKUP(C881,Lookups!$A$3:$C$7,3,FALSE),"UNMAPPED")</f>
        <v/>
      </c>
    </row>
    <row r="882">
      <c r="A882" s="5" t="n">
        <v>45991</v>
      </c>
      <c r="B882" t="inlineStr">
        <is>
          <t>CZ</t>
        </is>
      </c>
      <c r="C882" t="inlineStr">
        <is>
          <t>CC_GOLD</t>
        </is>
      </c>
      <c r="D882" t="inlineStr">
        <is>
          <t>60-89</t>
        </is>
      </c>
      <c r="E882" t="n">
        <v>60</v>
      </c>
      <c r="F882" t="n">
        <v>1</v>
      </c>
      <c r="G882" t="n">
        <v>136873.46</v>
      </c>
      <c r="H882">
        <f>IFERROR(VLOOKUP(C882,Lookups!$A$3:$C$7,3,FALSE),"UNMAPPED")</f>
        <v/>
      </c>
    </row>
    <row r="883">
      <c r="A883" s="5" t="n">
        <v>45991</v>
      </c>
      <c r="B883" t="inlineStr">
        <is>
          <t>CZ</t>
        </is>
      </c>
      <c r="C883" t="inlineStr">
        <is>
          <t>CC_GOLD</t>
        </is>
      </c>
      <c r="D883" t="inlineStr">
        <is>
          <t>90-179</t>
        </is>
      </c>
      <c r="E883" t="n">
        <v>90</v>
      </c>
      <c r="F883" t="n">
        <v>5</v>
      </c>
      <c r="G883" t="n">
        <v>389108.32</v>
      </c>
      <c r="H883">
        <f>IFERROR(VLOOKUP(C883,Lookups!$A$3:$C$7,3,FALSE),"UNMAPPED")</f>
        <v/>
      </c>
    </row>
    <row r="884">
      <c r="A884" s="5" t="n">
        <v>45991</v>
      </c>
      <c r="B884" t="inlineStr">
        <is>
          <t>CZ</t>
        </is>
      </c>
      <c r="C884" t="inlineStr">
        <is>
          <t>PL_PREM</t>
        </is>
      </c>
      <c r="D884" t="inlineStr">
        <is>
          <t>Current</t>
        </is>
      </c>
      <c r="E884" t="n">
        <v>0</v>
      </c>
      <c r="F884" t="n">
        <v>360</v>
      </c>
      <c r="G884" t="n">
        <v>81850317.64</v>
      </c>
      <c r="H884">
        <f>IFERROR(VLOOKUP(C884,Lookups!$A$3:$C$7,3,FALSE),"UNMAPPED")</f>
        <v/>
      </c>
    </row>
    <row r="885">
      <c r="A885" s="5" t="n">
        <v>45991</v>
      </c>
      <c r="B885" t="inlineStr">
        <is>
          <t>CZ</t>
        </is>
      </c>
      <c r="C885" t="inlineStr">
        <is>
          <t>PL_PREM</t>
        </is>
      </c>
      <c r="D885" t="inlineStr">
        <is>
          <t>1-29</t>
        </is>
      </c>
      <c r="E885" t="n">
        <v>1</v>
      </c>
      <c r="F885" t="n">
        <v>3</v>
      </c>
      <c r="G885" t="n">
        <v>603356.8199999999</v>
      </c>
      <c r="H885">
        <f>IFERROR(VLOOKUP(C885,Lookups!$A$3:$C$7,3,FALSE),"UNMAPPED")</f>
        <v/>
      </c>
    </row>
    <row r="886">
      <c r="A886" s="5" t="n">
        <v>45991</v>
      </c>
      <c r="B886" t="inlineStr">
        <is>
          <t>CZ</t>
        </is>
      </c>
      <c r="C886" t="inlineStr">
        <is>
          <t>PL_PREM</t>
        </is>
      </c>
      <c r="D886" t="inlineStr">
        <is>
          <t>30-59</t>
        </is>
      </c>
      <c r="E886" t="n">
        <v>30</v>
      </c>
      <c r="F886" t="n">
        <v>2</v>
      </c>
      <c r="G886" t="n">
        <v>516865.63</v>
      </c>
      <c r="H886">
        <f>IFERROR(VLOOKUP(C886,Lookups!$A$3:$C$7,3,FALSE),"UNMAPPED")</f>
        <v/>
      </c>
    </row>
    <row r="887">
      <c r="A887" s="5" t="n">
        <v>45991</v>
      </c>
      <c r="B887" t="inlineStr">
        <is>
          <t>CZ</t>
        </is>
      </c>
      <c r="C887" t="inlineStr">
        <is>
          <t>PL_PREM</t>
        </is>
      </c>
      <c r="D887" t="inlineStr">
        <is>
          <t>60-89</t>
        </is>
      </c>
      <c r="E887" t="n">
        <v>60</v>
      </c>
      <c r="F887" t="n">
        <v>4</v>
      </c>
      <c r="G887" t="n">
        <v>846425.09</v>
      </c>
      <c r="H887">
        <f>IFERROR(VLOOKUP(C887,Lookups!$A$3:$C$7,3,FALSE),"UNMAPPED")</f>
        <v/>
      </c>
    </row>
    <row r="888">
      <c r="A888" s="5" t="n">
        <v>45991</v>
      </c>
      <c r="B888" t="inlineStr">
        <is>
          <t>CZ</t>
        </is>
      </c>
      <c r="C888" t="inlineStr">
        <is>
          <t>PL_PREM</t>
        </is>
      </c>
      <c r="D888" t="inlineStr">
        <is>
          <t>90-179</t>
        </is>
      </c>
      <c r="E888" t="n">
        <v>90</v>
      </c>
      <c r="F888" t="n">
        <v>5</v>
      </c>
      <c r="G888" t="n">
        <v>1210033.76</v>
      </c>
      <c r="H888">
        <f>IFERROR(VLOOKUP(C888,Lookups!$A$3:$C$7,3,FALSE),"UNMAPPED")</f>
        <v/>
      </c>
    </row>
    <row r="889">
      <c r="A889" s="5" t="n">
        <v>45991</v>
      </c>
      <c r="B889" t="inlineStr">
        <is>
          <t>CZ</t>
        </is>
      </c>
      <c r="C889" t="inlineStr">
        <is>
          <t>PL_STD</t>
        </is>
      </c>
      <c r="D889" t="inlineStr">
        <is>
          <t>Current</t>
        </is>
      </c>
      <c r="E889" t="n">
        <v>0</v>
      </c>
      <c r="F889" t="n">
        <v>856</v>
      </c>
      <c r="G889" t="n">
        <v>58002074.17</v>
      </c>
      <c r="H889">
        <f>IFERROR(VLOOKUP(C889,Lookups!$A$3:$C$7,3,FALSE),"UNMAPPED")</f>
        <v/>
      </c>
    </row>
    <row r="890">
      <c r="A890" s="5" t="n">
        <v>45991</v>
      </c>
      <c r="B890" t="inlineStr">
        <is>
          <t>CZ</t>
        </is>
      </c>
      <c r="C890" t="inlineStr">
        <is>
          <t>PL_STD</t>
        </is>
      </c>
      <c r="D890" t="inlineStr">
        <is>
          <t>1-29</t>
        </is>
      </c>
      <c r="E890" t="n">
        <v>1</v>
      </c>
      <c r="F890" t="n">
        <v>18</v>
      </c>
      <c r="G890" t="n">
        <v>1098504.52</v>
      </c>
      <c r="H890">
        <f>IFERROR(VLOOKUP(C890,Lookups!$A$3:$C$7,3,FALSE),"UNMAPPED")</f>
        <v/>
      </c>
    </row>
    <row r="891">
      <c r="A891" s="5" t="n">
        <v>45991</v>
      </c>
      <c r="B891" t="inlineStr">
        <is>
          <t>CZ</t>
        </is>
      </c>
      <c r="C891" t="inlineStr">
        <is>
          <t>PL_STD</t>
        </is>
      </c>
      <c r="D891" t="inlineStr">
        <is>
          <t>30-59</t>
        </is>
      </c>
      <c r="E891" t="n">
        <v>30</v>
      </c>
      <c r="F891" t="n">
        <v>11</v>
      </c>
      <c r="G891" t="n">
        <v>1101094.72</v>
      </c>
      <c r="H891">
        <f>IFERROR(VLOOKUP(C891,Lookups!$A$3:$C$7,3,FALSE),"UNMAPPED")</f>
        <v/>
      </c>
    </row>
    <row r="892">
      <c r="A892" s="5" t="n">
        <v>45991</v>
      </c>
      <c r="B892" t="inlineStr">
        <is>
          <t>CZ</t>
        </is>
      </c>
      <c r="C892" t="inlineStr">
        <is>
          <t>PL_STD</t>
        </is>
      </c>
      <c r="D892" t="inlineStr">
        <is>
          <t>60-89</t>
        </is>
      </c>
      <c r="E892" t="n">
        <v>60</v>
      </c>
      <c r="F892" t="n">
        <v>2</v>
      </c>
      <c r="G892" t="n">
        <v>128338.57</v>
      </c>
      <c r="H892">
        <f>IFERROR(VLOOKUP(C892,Lookups!$A$3:$C$7,3,FALSE),"UNMAPPED")</f>
        <v/>
      </c>
    </row>
    <row r="893">
      <c r="A893" s="5" t="n">
        <v>45991</v>
      </c>
      <c r="B893" t="inlineStr">
        <is>
          <t>CZ</t>
        </is>
      </c>
      <c r="C893" t="inlineStr">
        <is>
          <t>PL_STD</t>
        </is>
      </c>
      <c r="D893" t="inlineStr">
        <is>
          <t>90-179</t>
        </is>
      </c>
      <c r="E893" t="n">
        <v>90</v>
      </c>
      <c r="F893" t="n">
        <v>8</v>
      </c>
      <c r="G893" t="n">
        <v>600833.47</v>
      </c>
      <c r="H893">
        <f>IFERROR(VLOOKUP(C893,Lookups!$A$3:$C$7,3,FALSE),"UNMAPPED")</f>
        <v/>
      </c>
    </row>
    <row r="894">
      <c r="A894" s="5" t="n">
        <v>45991</v>
      </c>
      <c r="B894" t="inlineStr">
        <is>
          <t>PL</t>
        </is>
      </c>
      <c r="C894" t="inlineStr">
        <is>
          <t>CC_CLASSIC</t>
        </is>
      </c>
      <c r="D894" t="inlineStr">
        <is>
          <t>Current</t>
        </is>
      </c>
      <c r="E894" t="n">
        <v>0</v>
      </c>
      <c r="F894" t="n">
        <v>1748</v>
      </c>
      <c r="G894" t="n">
        <v>5022577.06</v>
      </c>
      <c r="H894">
        <f>IFERROR(VLOOKUP(C894,Lookups!$A$3:$C$7,3,FALSE),"UNMAPPED")</f>
        <v/>
      </c>
    </row>
    <row r="895">
      <c r="A895" s="5" t="n">
        <v>45991</v>
      </c>
      <c r="B895" t="inlineStr">
        <is>
          <t>PL</t>
        </is>
      </c>
      <c r="C895" t="inlineStr">
        <is>
          <t>CC_CLASSIC</t>
        </is>
      </c>
      <c r="D895" t="inlineStr">
        <is>
          <t>1-29</t>
        </is>
      </c>
      <c r="E895" t="n">
        <v>1</v>
      </c>
      <c r="F895" t="n">
        <v>30</v>
      </c>
      <c r="G895" t="n">
        <v>122588.45</v>
      </c>
      <c r="H895">
        <f>IFERROR(VLOOKUP(C895,Lookups!$A$3:$C$7,3,FALSE),"UNMAPPED")</f>
        <v/>
      </c>
    </row>
    <row r="896">
      <c r="A896" s="5" t="n">
        <v>45991</v>
      </c>
      <c r="B896" t="inlineStr">
        <is>
          <t>PL</t>
        </is>
      </c>
      <c r="C896" t="inlineStr">
        <is>
          <t>CC_CLASSIC</t>
        </is>
      </c>
      <c r="D896" t="inlineStr">
        <is>
          <t>30-59</t>
        </is>
      </c>
      <c r="E896" t="n">
        <v>30</v>
      </c>
      <c r="F896" t="n">
        <v>11</v>
      </c>
      <c r="G896" t="n">
        <v>23961.52</v>
      </c>
      <c r="H896">
        <f>IFERROR(VLOOKUP(C896,Lookups!$A$3:$C$7,3,FALSE),"UNMAPPED")</f>
        <v/>
      </c>
    </row>
    <row r="897">
      <c r="A897" s="5" t="n">
        <v>45991</v>
      </c>
      <c r="B897" t="inlineStr">
        <is>
          <t>PL</t>
        </is>
      </c>
      <c r="C897" t="inlineStr">
        <is>
          <t>CC_CLASSIC</t>
        </is>
      </c>
      <c r="D897" t="inlineStr">
        <is>
          <t>60-89</t>
        </is>
      </c>
      <c r="E897" t="n">
        <v>60</v>
      </c>
      <c r="F897" t="n">
        <v>12</v>
      </c>
      <c r="G897" t="n">
        <v>35465.81</v>
      </c>
      <c r="H897">
        <f>IFERROR(VLOOKUP(C897,Lookups!$A$3:$C$7,3,FALSE),"UNMAPPED")</f>
        <v/>
      </c>
    </row>
    <row r="898">
      <c r="A898" s="5" t="n">
        <v>45991</v>
      </c>
      <c r="B898" t="inlineStr">
        <is>
          <t>PL</t>
        </is>
      </c>
      <c r="C898" t="inlineStr">
        <is>
          <t>CC_CLASSIC</t>
        </is>
      </c>
      <c r="D898" t="inlineStr">
        <is>
          <t>90-179</t>
        </is>
      </c>
      <c r="E898" t="n">
        <v>90</v>
      </c>
      <c r="F898" t="n">
        <v>33</v>
      </c>
      <c r="G898" t="n">
        <v>120546.67</v>
      </c>
      <c r="H898">
        <f>IFERROR(VLOOKUP(C898,Lookups!$A$3:$C$7,3,FALSE),"UNMAPPED")</f>
        <v/>
      </c>
    </row>
    <row r="899">
      <c r="A899" s="5" t="n">
        <v>45991</v>
      </c>
      <c r="B899" t="inlineStr">
        <is>
          <t>PL</t>
        </is>
      </c>
      <c r="C899" t="inlineStr">
        <is>
          <t>CC_CONSOL</t>
        </is>
      </c>
      <c r="D899" t="inlineStr">
        <is>
          <t>Current</t>
        </is>
      </c>
      <c r="E899" t="n">
        <v>0</v>
      </c>
      <c r="F899" t="n">
        <v>131</v>
      </c>
      <c r="G899" t="n">
        <v>3590196.8</v>
      </c>
      <c r="H899">
        <f>IFERROR(VLOOKUP(C899,Lookups!$A$3:$C$7,3,FALSE),"UNMAPPED")</f>
        <v/>
      </c>
    </row>
    <row r="900">
      <c r="A900" s="5" t="n">
        <v>45991</v>
      </c>
      <c r="B900" t="inlineStr">
        <is>
          <t>PL</t>
        </is>
      </c>
      <c r="C900" t="inlineStr">
        <is>
          <t>CC_CONSOL</t>
        </is>
      </c>
      <c r="D900" t="inlineStr">
        <is>
          <t>1-29</t>
        </is>
      </c>
      <c r="E900" t="n">
        <v>1</v>
      </c>
      <c r="F900" t="n">
        <v>1</v>
      </c>
      <c r="G900" t="n">
        <v>25477.89</v>
      </c>
      <c r="H900">
        <f>IFERROR(VLOOKUP(C900,Lookups!$A$3:$C$7,3,FALSE),"UNMAPPED")</f>
        <v/>
      </c>
    </row>
    <row r="901">
      <c r="A901" s="5" t="n">
        <v>45991</v>
      </c>
      <c r="B901" t="inlineStr">
        <is>
          <t>PL</t>
        </is>
      </c>
      <c r="C901" t="inlineStr">
        <is>
          <t>CC_CONSOL</t>
        </is>
      </c>
      <c r="D901" t="inlineStr">
        <is>
          <t>30-59</t>
        </is>
      </c>
      <c r="E901" t="n">
        <v>30</v>
      </c>
      <c r="F901" t="n">
        <v>3</v>
      </c>
      <c r="G901" t="n">
        <v>60313.15</v>
      </c>
      <c r="H901">
        <f>IFERROR(VLOOKUP(C901,Lookups!$A$3:$C$7,3,FALSE),"UNMAPPED")</f>
        <v/>
      </c>
    </row>
    <row r="902">
      <c r="A902" s="5" t="n">
        <v>45991</v>
      </c>
      <c r="B902" t="inlineStr">
        <is>
          <t>PL</t>
        </is>
      </c>
      <c r="C902" t="inlineStr">
        <is>
          <t>CC_CONSOL</t>
        </is>
      </c>
      <c r="D902" t="inlineStr">
        <is>
          <t>60-89</t>
        </is>
      </c>
      <c r="E902" t="n">
        <v>60</v>
      </c>
      <c r="F902" t="n">
        <v>2</v>
      </c>
      <c r="G902" t="n">
        <v>65118.97</v>
      </c>
      <c r="H902">
        <f>IFERROR(VLOOKUP(C902,Lookups!$A$3:$C$7,3,FALSE),"UNMAPPED")</f>
        <v/>
      </c>
    </row>
    <row r="903">
      <c r="A903" s="5" t="n">
        <v>45991</v>
      </c>
      <c r="B903" t="inlineStr">
        <is>
          <t>PL</t>
        </is>
      </c>
      <c r="C903" t="inlineStr">
        <is>
          <t>CC_CONSOL</t>
        </is>
      </c>
      <c r="D903" t="inlineStr">
        <is>
          <t>90-179</t>
        </is>
      </c>
      <c r="E903" t="n">
        <v>90</v>
      </c>
      <c r="F903" t="n">
        <v>3</v>
      </c>
      <c r="G903" t="n">
        <v>79525.22</v>
      </c>
      <c r="H903">
        <f>IFERROR(VLOOKUP(C903,Lookups!$A$3:$C$7,3,FALSE),"UNMAPPED")</f>
        <v/>
      </c>
    </row>
    <row r="904">
      <c r="A904" s="5" t="n">
        <v>45991</v>
      </c>
      <c r="B904" t="inlineStr">
        <is>
          <t>PL</t>
        </is>
      </c>
      <c r="C904" t="inlineStr">
        <is>
          <t>CC_GOLD</t>
        </is>
      </c>
      <c r="D904" t="inlineStr">
        <is>
          <t>Current</t>
        </is>
      </c>
      <c r="E904" t="n">
        <v>0</v>
      </c>
      <c r="F904" t="n">
        <v>501</v>
      </c>
      <c r="G904" t="n">
        <v>5087277.26</v>
      </c>
      <c r="H904">
        <f>IFERROR(VLOOKUP(C904,Lookups!$A$3:$C$7,3,FALSE),"UNMAPPED")</f>
        <v/>
      </c>
    </row>
    <row r="905">
      <c r="A905" s="5" t="n">
        <v>45991</v>
      </c>
      <c r="B905" t="inlineStr">
        <is>
          <t>PL</t>
        </is>
      </c>
      <c r="C905" t="inlineStr">
        <is>
          <t>CC_GOLD</t>
        </is>
      </c>
      <c r="D905" t="inlineStr">
        <is>
          <t>1-29</t>
        </is>
      </c>
      <c r="E905" t="n">
        <v>1</v>
      </c>
      <c r="F905" t="n">
        <v>11</v>
      </c>
      <c r="G905" t="n">
        <v>174373.13</v>
      </c>
      <c r="H905">
        <f>IFERROR(VLOOKUP(C905,Lookups!$A$3:$C$7,3,FALSE),"UNMAPPED")</f>
        <v/>
      </c>
    </row>
    <row r="906">
      <c r="A906" s="5" t="n">
        <v>45991</v>
      </c>
      <c r="B906" t="inlineStr">
        <is>
          <t>PL</t>
        </is>
      </c>
      <c r="C906" t="inlineStr">
        <is>
          <t>CC_GOLD</t>
        </is>
      </c>
      <c r="D906" t="inlineStr">
        <is>
          <t>30-59</t>
        </is>
      </c>
      <c r="E906" t="n">
        <v>30</v>
      </c>
      <c r="F906" t="n">
        <v>7</v>
      </c>
      <c r="G906" t="n">
        <v>102388.2</v>
      </c>
      <c r="H906">
        <f>IFERROR(VLOOKUP(C906,Lookups!$A$3:$C$7,3,FALSE),"UNMAPPED")</f>
        <v/>
      </c>
    </row>
    <row r="907">
      <c r="A907" s="5" t="n">
        <v>45991</v>
      </c>
      <c r="B907" t="inlineStr">
        <is>
          <t>PL</t>
        </is>
      </c>
      <c r="C907" t="inlineStr">
        <is>
          <t>CC_GOLD</t>
        </is>
      </c>
      <c r="D907" t="inlineStr">
        <is>
          <t>60-89</t>
        </is>
      </c>
      <c r="E907" t="n">
        <v>60</v>
      </c>
      <c r="F907" t="n">
        <v>5</v>
      </c>
      <c r="G907" t="n">
        <v>43044.89</v>
      </c>
      <c r="H907">
        <f>IFERROR(VLOOKUP(C907,Lookups!$A$3:$C$7,3,FALSE),"UNMAPPED")</f>
        <v/>
      </c>
    </row>
    <row r="908">
      <c r="A908" s="5" t="n">
        <v>45991</v>
      </c>
      <c r="B908" t="inlineStr">
        <is>
          <t>PL</t>
        </is>
      </c>
      <c r="C908" t="inlineStr">
        <is>
          <t>CC_GOLD</t>
        </is>
      </c>
      <c r="D908" t="inlineStr">
        <is>
          <t>90-179</t>
        </is>
      </c>
      <c r="E908" t="n">
        <v>90</v>
      </c>
      <c r="F908" t="n">
        <v>12</v>
      </c>
      <c r="G908" t="n">
        <v>130683.74</v>
      </c>
      <c r="H908">
        <f>IFERROR(VLOOKUP(C908,Lookups!$A$3:$C$7,3,FALSE),"UNMAPPED")</f>
        <v/>
      </c>
    </row>
    <row r="909">
      <c r="A909" s="5" t="n">
        <v>45991</v>
      </c>
      <c r="B909" t="inlineStr">
        <is>
          <t>PL</t>
        </is>
      </c>
      <c r="C909" t="inlineStr">
        <is>
          <t>PL_PREM</t>
        </is>
      </c>
      <c r="D909" t="inlineStr">
        <is>
          <t>Current</t>
        </is>
      </c>
      <c r="E909" t="n">
        <v>0</v>
      </c>
      <c r="F909" t="n">
        <v>525</v>
      </c>
      <c r="G909" t="n">
        <v>20666710.7</v>
      </c>
      <c r="H909">
        <f>IFERROR(VLOOKUP(C909,Lookups!$A$3:$C$7,3,FALSE),"UNMAPPED")</f>
        <v/>
      </c>
    </row>
    <row r="910">
      <c r="A910" s="5" t="n">
        <v>45991</v>
      </c>
      <c r="B910" t="inlineStr">
        <is>
          <t>PL</t>
        </is>
      </c>
      <c r="C910" t="inlineStr">
        <is>
          <t>PL_PREM</t>
        </is>
      </c>
      <c r="D910" t="inlineStr">
        <is>
          <t>1-29</t>
        </is>
      </c>
      <c r="E910" t="n">
        <v>1</v>
      </c>
      <c r="F910" t="n">
        <v>15</v>
      </c>
      <c r="G910" t="n">
        <v>609260.6899999999</v>
      </c>
      <c r="H910">
        <f>IFERROR(VLOOKUP(C910,Lookups!$A$3:$C$7,3,FALSE),"UNMAPPED")</f>
        <v/>
      </c>
    </row>
    <row r="911">
      <c r="A911" s="5" t="n">
        <v>45991</v>
      </c>
      <c r="B911" t="inlineStr">
        <is>
          <t>PL</t>
        </is>
      </c>
      <c r="C911" t="inlineStr">
        <is>
          <t>PL_PREM</t>
        </is>
      </c>
      <c r="D911" t="inlineStr">
        <is>
          <t>30-59</t>
        </is>
      </c>
      <c r="E911" t="n">
        <v>30</v>
      </c>
      <c r="F911" t="n">
        <v>9</v>
      </c>
      <c r="G911" t="n">
        <v>545128.05</v>
      </c>
      <c r="H911">
        <f>IFERROR(VLOOKUP(C911,Lookups!$A$3:$C$7,3,FALSE),"UNMAPPED")</f>
        <v/>
      </c>
    </row>
    <row r="912">
      <c r="A912" s="5" t="n">
        <v>45991</v>
      </c>
      <c r="B912" t="inlineStr">
        <is>
          <t>PL</t>
        </is>
      </c>
      <c r="C912" t="inlineStr">
        <is>
          <t>PL_PREM</t>
        </is>
      </c>
      <c r="D912" t="inlineStr">
        <is>
          <t>60-89</t>
        </is>
      </c>
      <c r="E912" t="n">
        <v>60</v>
      </c>
      <c r="F912" t="n">
        <v>4</v>
      </c>
      <c r="G912" t="n">
        <v>197662.18</v>
      </c>
      <c r="H912">
        <f>IFERROR(VLOOKUP(C912,Lookups!$A$3:$C$7,3,FALSE),"UNMAPPED")</f>
        <v/>
      </c>
    </row>
    <row r="913">
      <c r="A913" s="5" t="n">
        <v>45991</v>
      </c>
      <c r="B913" t="inlineStr">
        <is>
          <t>PL</t>
        </is>
      </c>
      <c r="C913" t="inlineStr">
        <is>
          <t>PL_PREM</t>
        </is>
      </c>
      <c r="D913" t="inlineStr">
        <is>
          <t>90-179</t>
        </is>
      </c>
      <c r="E913" t="n">
        <v>90</v>
      </c>
      <c r="F913" t="n">
        <v>7</v>
      </c>
      <c r="G913" t="n">
        <v>323336.56</v>
      </c>
      <c r="H913">
        <f>IFERROR(VLOOKUP(C913,Lookups!$A$3:$C$7,3,FALSE),"UNMAPPED")</f>
        <v/>
      </c>
    </row>
    <row r="914">
      <c r="A914" s="5" t="n">
        <v>45991</v>
      </c>
      <c r="B914" t="inlineStr">
        <is>
          <t>PL</t>
        </is>
      </c>
      <c r="C914" t="inlineStr">
        <is>
          <t>PL_STD</t>
        </is>
      </c>
      <c r="D914" t="inlineStr">
        <is>
          <t>Current</t>
        </is>
      </c>
      <c r="E914" t="n">
        <v>0</v>
      </c>
      <c r="F914" t="n">
        <v>1168</v>
      </c>
      <c r="G914" t="n">
        <v>13206009.01</v>
      </c>
      <c r="H914">
        <f>IFERROR(VLOOKUP(C914,Lookups!$A$3:$C$7,3,FALSE),"UNMAPPED")</f>
        <v/>
      </c>
    </row>
    <row r="915">
      <c r="A915" s="5" t="n">
        <v>45991</v>
      </c>
      <c r="B915" t="inlineStr">
        <is>
          <t>PL</t>
        </is>
      </c>
      <c r="C915" t="inlineStr">
        <is>
          <t>PL_STD</t>
        </is>
      </c>
      <c r="D915" t="inlineStr">
        <is>
          <t>1-29</t>
        </is>
      </c>
      <c r="E915" t="n">
        <v>1</v>
      </c>
      <c r="F915" t="n">
        <v>20</v>
      </c>
      <c r="G915" t="n">
        <v>263099.93</v>
      </c>
      <c r="H915">
        <f>IFERROR(VLOOKUP(C915,Lookups!$A$3:$C$7,3,FALSE),"UNMAPPED")</f>
        <v/>
      </c>
    </row>
    <row r="916">
      <c r="A916" s="5" t="n">
        <v>45991</v>
      </c>
      <c r="B916" t="inlineStr">
        <is>
          <t>PL</t>
        </is>
      </c>
      <c r="C916" t="inlineStr">
        <is>
          <t>PL_STD</t>
        </is>
      </c>
      <c r="D916" t="inlineStr">
        <is>
          <t>30-59</t>
        </is>
      </c>
      <c r="E916" t="n">
        <v>30</v>
      </c>
      <c r="F916" t="n">
        <v>7</v>
      </c>
      <c r="G916" t="n">
        <v>131110.03</v>
      </c>
      <c r="H916">
        <f>IFERROR(VLOOKUP(C916,Lookups!$A$3:$C$7,3,FALSE),"UNMAPPED")</f>
        <v/>
      </c>
    </row>
    <row r="917">
      <c r="A917" s="5" t="n">
        <v>45991</v>
      </c>
      <c r="B917" t="inlineStr">
        <is>
          <t>PL</t>
        </is>
      </c>
      <c r="C917" t="inlineStr">
        <is>
          <t>PL_STD</t>
        </is>
      </c>
      <c r="D917" t="inlineStr">
        <is>
          <t>60-89</t>
        </is>
      </c>
      <c r="E917" t="n">
        <v>60</v>
      </c>
      <c r="F917" t="n">
        <v>9</v>
      </c>
      <c r="G917" t="n">
        <v>120823.15</v>
      </c>
      <c r="H917">
        <f>IFERROR(VLOOKUP(C917,Lookups!$A$3:$C$7,3,FALSE),"UNMAPPED")</f>
        <v/>
      </c>
    </row>
    <row r="918">
      <c r="A918" s="5" t="n">
        <v>45991</v>
      </c>
      <c r="B918" t="inlineStr">
        <is>
          <t>PL</t>
        </is>
      </c>
      <c r="C918" t="inlineStr">
        <is>
          <t>PL_STD</t>
        </is>
      </c>
      <c r="D918" t="inlineStr">
        <is>
          <t>90-179</t>
        </is>
      </c>
      <c r="E918" t="n">
        <v>90</v>
      </c>
      <c r="F918" t="n">
        <v>19</v>
      </c>
      <c r="G918" t="n">
        <v>230243.75</v>
      </c>
      <c r="H918">
        <f>IFERROR(VLOOKUP(C918,Lookups!$A$3:$C$7,3,FALSE),"UNMAPPED")</f>
        <v/>
      </c>
    </row>
    <row r="919">
      <c r="A919" s="5" t="n">
        <v>45991</v>
      </c>
      <c r="B919" t="inlineStr">
        <is>
          <t>RO</t>
        </is>
      </c>
      <c r="C919" t="inlineStr">
        <is>
          <t>CC_CLASSIC</t>
        </is>
      </c>
      <c r="D919" t="inlineStr">
        <is>
          <t>Current</t>
        </is>
      </c>
      <c r="E919" t="n">
        <v>0</v>
      </c>
      <c r="F919" t="n">
        <v>974</v>
      </c>
      <c r="G919" t="n">
        <v>3334999.99</v>
      </c>
      <c r="H919">
        <f>IFERROR(VLOOKUP(C919,Lookups!$A$3:$C$7,3,FALSE),"UNMAPPED")</f>
        <v/>
      </c>
    </row>
    <row r="920">
      <c r="A920" s="5" t="n">
        <v>45991</v>
      </c>
      <c r="B920" t="inlineStr">
        <is>
          <t>RO</t>
        </is>
      </c>
      <c r="C920" t="inlineStr">
        <is>
          <t>CC_CLASSIC</t>
        </is>
      </c>
      <c r="D920" t="inlineStr">
        <is>
          <t>1-29</t>
        </is>
      </c>
      <c r="E920" t="n">
        <v>1</v>
      </c>
      <c r="F920" t="n">
        <v>16</v>
      </c>
      <c r="G920" t="n">
        <v>53484.24</v>
      </c>
      <c r="H920">
        <f>IFERROR(VLOOKUP(C920,Lookups!$A$3:$C$7,3,FALSE),"UNMAPPED")</f>
        <v/>
      </c>
    </row>
    <row r="921">
      <c r="A921" s="5" t="n">
        <v>45991</v>
      </c>
      <c r="B921" t="inlineStr">
        <is>
          <t>RO</t>
        </is>
      </c>
      <c r="C921" t="inlineStr">
        <is>
          <t>CC_CLASSIC</t>
        </is>
      </c>
      <c r="D921" t="inlineStr">
        <is>
          <t>30-59</t>
        </is>
      </c>
      <c r="E921" t="n">
        <v>30</v>
      </c>
      <c r="F921" t="n">
        <v>9</v>
      </c>
      <c r="G921" t="n">
        <v>62930.19</v>
      </c>
      <c r="H921">
        <f>IFERROR(VLOOKUP(C921,Lookups!$A$3:$C$7,3,FALSE),"UNMAPPED")</f>
        <v/>
      </c>
    </row>
    <row r="922">
      <c r="A922" s="5" t="n">
        <v>45991</v>
      </c>
      <c r="B922" t="inlineStr">
        <is>
          <t>RO</t>
        </is>
      </c>
      <c r="C922" t="inlineStr">
        <is>
          <t>CC_CLASSIC</t>
        </is>
      </c>
      <c r="D922" t="inlineStr">
        <is>
          <t>60-89</t>
        </is>
      </c>
      <c r="E922" t="n">
        <v>60</v>
      </c>
      <c r="F922" t="n">
        <v>6</v>
      </c>
      <c r="G922" t="n">
        <v>19423.81</v>
      </c>
      <c r="H922">
        <f>IFERROR(VLOOKUP(C922,Lookups!$A$3:$C$7,3,FALSE),"UNMAPPED")</f>
        <v/>
      </c>
    </row>
    <row r="923">
      <c r="A923" s="5" t="n">
        <v>45991</v>
      </c>
      <c r="B923" t="inlineStr">
        <is>
          <t>RO</t>
        </is>
      </c>
      <c r="C923" t="inlineStr">
        <is>
          <t>CC_CLASSIC</t>
        </is>
      </c>
      <c r="D923" t="inlineStr">
        <is>
          <t>90-179</t>
        </is>
      </c>
      <c r="E923" t="n">
        <v>90</v>
      </c>
      <c r="F923" t="n">
        <v>25</v>
      </c>
      <c r="G923" t="n">
        <v>68632.25</v>
      </c>
      <c r="H923">
        <f>IFERROR(VLOOKUP(C923,Lookups!$A$3:$C$7,3,FALSE),"UNMAPPED")</f>
        <v/>
      </c>
    </row>
    <row r="924">
      <c r="A924" s="5" t="n">
        <v>45991</v>
      </c>
      <c r="B924" t="inlineStr">
        <is>
          <t>RO</t>
        </is>
      </c>
      <c r="C924" t="inlineStr">
        <is>
          <t>CC_CONSOL</t>
        </is>
      </c>
      <c r="D924" t="inlineStr">
        <is>
          <t>Current</t>
        </is>
      </c>
      <c r="E924" t="n">
        <v>0</v>
      </c>
      <c r="F924" t="n">
        <v>75</v>
      </c>
      <c r="G924" t="n">
        <v>2397915.8</v>
      </c>
      <c r="H924">
        <f>IFERROR(VLOOKUP(C924,Lookups!$A$3:$C$7,3,FALSE),"UNMAPPED")</f>
        <v/>
      </c>
    </row>
    <row r="925">
      <c r="A925" s="5" t="n">
        <v>45991</v>
      </c>
      <c r="B925" t="inlineStr">
        <is>
          <t>RO</t>
        </is>
      </c>
      <c r="C925" t="inlineStr">
        <is>
          <t>CC_CONSOL</t>
        </is>
      </c>
      <c r="D925" t="inlineStr">
        <is>
          <t>30-59</t>
        </is>
      </c>
      <c r="E925" t="n">
        <v>30</v>
      </c>
      <c r="F925" t="n">
        <v>3</v>
      </c>
      <c r="G925" t="n">
        <v>75130.64999999999</v>
      </c>
      <c r="H925">
        <f>IFERROR(VLOOKUP(C925,Lookups!$A$3:$C$7,3,FALSE),"UNMAPPED")</f>
        <v/>
      </c>
    </row>
    <row r="926">
      <c r="A926" s="5" t="n">
        <v>45991</v>
      </c>
      <c r="B926" t="inlineStr">
        <is>
          <t>RO</t>
        </is>
      </c>
      <c r="C926" t="inlineStr">
        <is>
          <t>CC_CONSOL</t>
        </is>
      </c>
      <c r="D926" t="inlineStr">
        <is>
          <t>60-89</t>
        </is>
      </c>
      <c r="E926" t="n">
        <v>60</v>
      </c>
      <c r="F926" t="n">
        <v>1</v>
      </c>
      <c r="G926" t="n">
        <v>39388.11</v>
      </c>
      <c r="H926">
        <f>IFERROR(VLOOKUP(C926,Lookups!$A$3:$C$7,3,FALSE),"UNMAPPED")</f>
        <v/>
      </c>
    </row>
    <row r="927">
      <c r="A927" s="5" t="n">
        <v>45991</v>
      </c>
      <c r="B927" t="inlineStr">
        <is>
          <t>RO</t>
        </is>
      </c>
      <c r="C927" t="inlineStr">
        <is>
          <t>CC_CONSOL</t>
        </is>
      </c>
      <c r="D927" t="inlineStr">
        <is>
          <t>90-179</t>
        </is>
      </c>
      <c r="E927" t="n">
        <v>90</v>
      </c>
      <c r="F927" t="n">
        <v>2</v>
      </c>
      <c r="G927" t="n">
        <v>115387.02</v>
      </c>
      <c r="H927">
        <f>IFERROR(VLOOKUP(C927,Lookups!$A$3:$C$7,3,FALSE),"UNMAPPED")</f>
        <v/>
      </c>
    </row>
    <row r="928">
      <c r="A928" s="5" t="n">
        <v>45991</v>
      </c>
      <c r="B928" t="inlineStr">
        <is>
          <t>RO</t>
        </is>
      </c>
      <c r="C928" t="inlineStr">
        <is>
          <t>CC_GOLD</t>
        </is>
      </c>
      <c r="D928" t="inlineStr">
        <is>
          <t>Current</t>
        </is>
      </c>
      <c r="E928" t="n">
        <v>0</v>
      </c>
      <c r="F928" t="n">
        <v>265</v>
      </c>
      <c r="G928" t="n">
        <v>3069477.77</v>
      </c>
      <c r="H928">
        <f>IFERROR(VLOOKUP(C928,Lookups!$A$3:$C$7,3,FALSE),"UNMAPPED")</f>
        <v/>
      </c>
    </row>
    <row r="929">
      <c r="A929" s="5" t="n">
        <v>45991</v>
      </c>
      <c r="B929" t="inlineStr">
        <is>
          <t>RO</t>
        </is>
      </c>
      <c r="C929" t="inlineStr">
        <is>
          <t>CC_GOLD</t>
        </is>
      </c>
      <c r="D929" t="inlineStr">
        <is>
          <t>1-29</t>
        </is>
      </c>
      <c r="E929" t="n">
        <v>1</v>
      </c>
      <c r="F929" t="n">
        <v>4</v>
      </c>
      <c r="G929" t="n">
        <v>45418.76</v>
      </c>
      <c r="H929">
        <f>IFERROR(VLOOKUP(C929,Lookups!$A$3:$C$7,3,FALSE),"UNMAPPED")</f>
        <v/>
      </c>
    </row>
    <row r="930">
      <c r="A930" s="5" t="n">
        <v>45991</v>
      </c>
      <c r="B930" t="inlineStr">
        <is>
          <t>RO</t>
        </is>
      </c>
      <c r="C930" t="inlineStr">
        <is>
          <t>CC_GOLD</t>
        </is>
      </c>
      <c r="D930" t="inlineStr">
        <is>
          <t>30-59</t>
        </is>
      </c>
      <c r="E930" t="n">
        <v>30</v>
      </c>
      <c r="F930" t="n">
        <v>6</v>
      </c>
      <c r="G930" t="n">
        <v>45743.84</v>
      </c>
      <c r="H930">
        <f>IFERROR(VLOOKUP(C930,Lookups!$A$3:$C$7,3,FALSE),"UNMAPPED")</f>
        <v/>
      </c>
    </row>
    <row r="931">
      <c r="A931" s="5" t="n">
        <v>45991</v>
      </c>
      <c r="B931" t="inlineStr">
        <is>
          <t>RO</t>
        </is>
      </c>
      <c r="C931" t="inlineStr">
        <is>
          <t>CC_GOLD</t>
        </is>
      </c>
      <c r="D931" t="inlineStr">
        <is>
          <t>60-89</t>
        </is>
      </c>
      <c r="E931" t="n">
        <v>60</v>
      </c>
      <c r="F931" t="n">
        <v>3</v>
      </c>
      <c r="G931" t="n">
        <v>74366.08</v>
      </c>
      <c r="H931">
        <f>IFERROR(VLOOKUP(C931,Lookups!$A$3:$C$7,3,FALSE),"UNMAPPED")</f>
        <v/>
      </c>
    </row>
    <row r="932">
      <c r="A932" s="5" t="n">
        <v>45991</v>
      </c>
      <c r="B932" t="inlineStr">
        <is>
          <t>RO</t>
        </is>
      </c>
      <c r="C932" t="inlineStr">
        <is>
          <t>CC_GOLD</t>
        </is>
      </c>
      <c r="D932" t="inlineStr">
        <is>
          <t>90-179</t>
        </is>
      </c>
      <c r="E932" t="n">
        <v>90</v>
      </c>
      <c r="F932" t="n">
        <v>6</v>
      </c>
      <c r="G932" t="n">
        <v>85197.12</v>
      </c>
      <c r="H932">
        <f>IFERROR(VLOOKUP(C932,Lookups!$A$3:$C$7,3,FALSE),"UNMAPPED")</f>
        <v/>
      </c>
    </row>
    <row r="933">
      <c r="A933" s="5" t="n">
        <v>45991</v>
      </c>
      <c r="B933" t="inlineStr">
        <is>
          <t>RO</t>
        </is>
      </c>
      <c r="C933" t="inlineStr">
        <is>
          <t>PL_PREM</t>
        </is>
      </c>
      <c r="D933" t="inlineStr">
        <is>
          <t>Current</t>
        </is>
      </c>
      <c r="E933" t="n">
        <v>0</v>
      </c>
      <c r="F933" t="n">
        <v>319</v>
      </c>
      <c r="G933" t="n">
        <v>14338946.18</v>
      </c>
      <c r="H933">
        <f>IFERROR(VLOOKUP(C933,Lookups!$A$3:$C$7,3,FALSE),"UNMAPPED")</f>
        <v/>
      </c>
    </row>
    <row r="934">
      <c r="A934" s="5" t="n">
        <v>45991</v>
      </c>
      <c r="B934" t="inlineStr">
        <is>
          <t>RO</t>
        </is>
      </c>
      <c r="C934" t="inlineStr">
        <is>
          <t>PL_PREM</t>
        </is>
      </c>
      <c r="D934" t="inlineStr">
        <is>
          <t>1-29</t>
        </is>
      </c>
      <c r="E934" t="n">
        <v>1</v>
      </c>
      <c r="F934" t="n">
        <v>7</v>
      </c>
      <c r="G934" t="n">
        <v>397101.72</v>
      </c>
      <c r="H934">
        <f>IFERROR(VLOOKUP(C934,Lookups!$A$3:$C$7,3,FALSE),"UNMAPPED")</f>
        <v/>
      </c>
    </row>
    <row r="935">
      <c r="A935" s="5" t="n">
        <v>45991</v>
      </c>
      <c r="B935" t="inlineStr">
        <is>
          <t>RO</t>
        </is>
      </c>
      <c r="C935" t="inlineStr">
        <is>
          <t>PL_PREM</t>
        </is>
      </c>
      <c r="D935" t="inlineStr">
        <is>
          <t>30-59</t>
        </is>
      </c>
      <c r="E935" t="n">
        <v>30</v>
      </c>
      <c r="F935" t="n">
        <v>4</v>
      </c>
      <c r="G935" t="n">
        <v>224695.38</v>
      </c>
      <c r="H935">
        <f>IFERROR(VLOOKUP(C935,Lookups!$A$3:$C$7,3,FALSE),"UNMAPPED")</f>
        <v/>
      </c>
    </row>
    <row r="936">
      <c r="A936" s="5" t="n">
        <v>45991</v>
      </c>
      <c r="B936" t="inlineStr">
        <is>
          <t>RO</t>
        </is>
      </c>
      <c r="C936" t="inlineStr">
        <is>
          <t>PL_PREM</t>
        </is>
      </c>
      <c r="D936" t="inlineStr">
        <is>
          <t>60-89</t>
        </is>
      </c>
      <c r="E936" t="n">
        <v>60</v>
      </c>
      <c r="F936" t="n">
        <v>2</v>
      </c>
      <c r="G936" t="n">
        <v>143775.38</v>
      </c>
      <c r="H936">
        <f>IFERROR(VLOOKUP(C936,Lookups!$A$3:$C$7,3,FALSE),"UNMAPPED")</f>
        <v/>
      </c>
    </row>
    <row r="937">
      <c r="A937" s="5" t="n">
        <v>45991</v>
      </c>
      <c r="B937" t="inlineStr">
        <is>
          <t>RO</t>
        </is>
      </c>
      <c r="C937" t="inlineStr">
        <is>
          <t>PL_PREM</t>
        </is>
      </c>
      <c r="D937" t="inlineStr">
        <is>
          <t>90-179</t>
        </is>
      </c>
      <c r="E937" t="n">
        <v>90</v>
      </c>
      <c r="F937" t="n">
        <v>7</v>
      </c>
      <c r="G937" t="n">
        <v>348230.46</v>
      </c>
      <c r="H937">
        <f>IFERROR(VLOOKUP(C937,Lookups!$A$3:$C$7,3,FALSE),"UNMAPPED")</f>
        <v/>
      </c>
    </row>
    <row r="938">
      <c r="A938" s="5" t="n">
        <v>45991</v>
      </c>
      <c r="B938" t="inlineStr">
        <is>
          <t>RO</t>
        </is>
      </c>
      <c r="C938" t="inlineStr">
        <is>
          <t>PL_STD</t>
        </is>
      </c>
      <c r="D938" t="inlineStr">
        <is>
          <t>Current</t>
        </is>
      </c>
      <c r="E938" t="n">
        <v>0</v>
      </c>
      <c r="F938" t="n">
        <v>775</v>
      </c>
      <c r="G938" t="n">
        <v>11263366.67</v>
      </c>
      <c r="H938">
        <f>IFERROR(VLOOKUP(C938,Lookups!$A$3:$C$7,3,FALSE),"UNMAPPED")</f>
        <v/>
      </c>
    </row>
    <row r="939">
      <c r="A939" s="5" t="n">
        <v>45991</v>
      </c>
      <c r="B939" t="inlineStr">
        <is>
          <t>RO</t>
        </is>
      </c>
      <c r="C939" t="inlineStr">
        <is>
          <t>PL_STD</t>
        </is>
      </c>
      <c r="D939" t="inlineStr">
        <is>
          <t>1-29</t>
        </is>
      </c>
      <c r="E939" t="n">
        <v>1</v>
      </c>
      <c r="F939" t="n">
        <v>14</v>
      </c>
      <c r="G939" t="n">
        <v>189958.02</v>
      </c>
      <c r="H939">
        <f>IFERROR(VLOOKUP(C939,Lookups!$A$3:$C$7,3,FALSE),"UNMAPPED")</f>
        <v/>
      </c>
    </row>
    <row r="940">
      <c r="A940" s="5" t="n">
        <v>45991</v>
      </c>
      <c r="B940" t="inlineStr">
        <is>
          <t>RO</t>
        </is>
      </c>
      <c r="C940" t="inlineStr">
        <is>
          <t>PL_STD</t>
        </is>
      </c>
      <c r="D940" t="inlineStr">
        <is>
          <t>30-59</t>
        </is>
      </c>
      <c r="E940" t="n">
        <v>30</v>
      </c>
      <c r="F940" t="n">
        <v>8</v>
      </c>
      <c r="G940" t="n">
        <v>156673.84</v>
      </c>
      <c r="H940">
        <f>IFERROR(VLOOKUP(C940,Lookups!$A$3:$C$7,3,FALSE),"UNMAPPED")</f>
        <v/>
      </c>
    </row>
    <row r="941">
      <c r="A941" s="5" t="n">
        <v>45991</v>
      </c>
      <c r="B941" t="inlineStr">
        <is>
          <t>RO</t>
        </is>
      </c>
      <c r="C941" t="inlineStr">
        <is>
          <t>PL_STD</t>
        </is>
      </c>
      <c r="D941" t="inlineStr">
        <is>
          <t>60-89</t>
        </is>
      </c>
      <c r="E941" t="n">
        <v>60</v>
      </c>
      <c r="F941" t="n">
        <v>5</v>
      </c>
      <c r="G941" t="n">
        <v>90375.42</v>
      </c>
      <c r="H941">
        <f>IFERROR(VLOOKUP(C941,Lookups!$A$3:$C$7,3,FALSE),"UNMAPPED")</f>
        <v/>
      </c>
    </row>
    <row r="942">
      <c r="A942" s="5" t="n">
        <v>45991</v>
      </c>
      <c r="B942" t="inlineStr">
        <is>
          <t>RO</t>
        </is>
      </c>
      <c r="C942" t="inlineStr">
        <is>
          <t>PL_STD</t>
        </is>
      </c>
      <c r="D942" t="inlineStr">
        <is>
          <t>90-179</t>
        </is>
      </c>
      <c r="E942" t="n">
        <v>90</v>
      </c>
      <c r="F942" t="n">
        <v>12</v>
      </c>
      <c r="G942" t="n">
        <v>188045.61</v>
      </c>
      <c r="H942">
        <f>IFERROR(VLOOKUP(C942,Lookups!$A$3:$C$7,3,FALSE),"UNMAPPED")</f>
        <v/>
      </c>
    </row>
    <row r="943">
      <c r="A943" s="5" t="n">
        <v>46022</v>
      </c>
      <c r="B943" t="inlineStr">
        <is>
          <t>CZ</t>
        </is>
      </c>
      <c r="C943" t="inlineStr">
        <is>
          <t>CC_CLASSIC</t>
        </is>
      </c>
      <c r="D943" t="inlineStr">
        <is>
          <t>Current</t>
        </is>
      </c>
      <c r="E943" t="n">
        <v>0</v>
      </c>
      <c r="F943" t="n">
        <v>1369</v>
      </c>
      <c r="G943" t="n">
        <v>22601092.44</v>
      </c>
      <c r="H943">
        <f>IFERROR(VLOOKUP(C943,Lookups!$A$3:$C$7,3,FALSE),"UNMAPPED")</f>
        <v/>
      </c>
    </row>
    <row r="944">
      <c r="A944" s="5" t="n">
        <v>46022</v>
      </c>
      <c r="B944" t="inlineStr">
        <is>
          <t>CZ</t>
        </is>
      </c>
      <c r="C944" t="inlineStr">
        <is>
          <t>CC_CLASSIC</t>
        </is>
      </c>
      <c r="D944" t="inlineStr">
        <is>
          <t>1-29</t>
        </is>
      </c>
      <c r="E944" t="n">
        <v>1</v>
      </c>
      <c r="F944" t="n">
        <v>20</v>
      </c>
      <c r="G944" t="n">
        <v>296595.13</v>
      </c>
      <c r="H944">
        <f>IFERROR(VLOOKUP(C944,Lookups!$A$3:$C$7,3,FALSE),"UNMAPPED")</f>
        <v/>
      </c>
    </row>
    <row r="945">
      <c r="A945" s="5" t="n">
        <v>46022</v>
      </c>
      <c r="B945" t="inlineStr">
        <is>
          <t>CZ</t>
        </is>
      </c>
      <c r="C945" t="inlineStr">
        <is>
          <t>CC_CLASSIC</t>
        </is>
      </c>
      <c r="D945" t="inlineStr">
        <is>
          <t>30-59</t>
        </is>
      </c>
      <c r="E945" t="n">
        <v>30</v>
      </c>
      <c r="F945" t="n">
        <v>11</v>
      </c>
      <c r="G945" t="n">
        <v>134767.34</v>
      </c>
      <c r="H945">
        <f>IFERROR(VLOOKUP(C945,Lookups!$A$3:$C$7,3,FALSE),"UNMAPPED")</f>
        <v/>
      </c>
    </row>
    <row r="946">
      <c r="A946" s="5" t="n">
        <v>46022</v>
      </c>
      <c r="B946" t="inlineStr">
        <is>
          <t>CZ</t>
        </is>
      </c>
      <c r="C946" t="inlineStr">
        <is>
          <t>CC_CLASSIC</t>
        </is>
      </c>
      <c r="D946" t="inlineStr">
        <is>
          <t>60-89</t>
        </is>
      </c>
      <c r="E946" t="n">
        <v>60</v>
      </c>
      <c r="F946" t="n">
        <v>3</v>
      </c>
      <c r="G946" t="n">
        <v>72775.96000000001</v>
      </c>
      <c r="H946">
        <f>IFERROR(VLOOKUP(C946,Lookups!$A$3:$C$7,3,FALSE),"UNMAPPED")</f>
        <v/>
      </c>
    </row>
    <row r="947">
      <c r="A947" s="5" t="n">
        <v>46022</v>
      </c>
      <c r="B947" t="inlineStr">
        <is>
          <t>CZ</t>
        </is>
      </c>
      <c r="C947" t="inlineStr">
        <is>
          <t>CC_CLASSIC</t>
        </is>
      </c>
      <c r="D947" t="inlineStr">
        <is>
          <t>90-179</t>
        </is>
      </c>
      <c r="E947" t="n">
        <v>90</v>
      </c>
      <c r="F947" t="n">
        <v>20</v>
      </c>
      <c r="G947" t="n">
        <v>365629.25</v>
      </c>
      <c r="H947">
        <f>IFERROR(VLOOKUP(C947,Lookups!$A$3:$C$7,3,FALSE),"UNMAPPED")</f>
        <v/>
      </c>
    </row>
    <row r="948">
      <c r="A948" s="5" t="n">
        <v>46022</v>
      </c>
      <c r="B948" t="inlineStr">
        <is>
          <t>CZ</t>
        </is>
      </c>
      <c r="C948" t="inlineStr">
        <is>
          <t>CC_CONSOL</t>
        </is>
      </c>
      <c r="D948" t="inlineStr">
        <is>
          <t>Current</t>
        </is>
      </c>
      <c r="E948" t="n">
        <v>0</v>
      </c>
      <c r="F948" t="n">
        <v>125</v>
      </c>
      <c r="G948" t="n">
        <v>18355293.47</v>
      </c>
      <c r="H948">
        <f>IFERROR(VLOOKUP(C948,Lookups!$A$3:$C$7,3,FALSE),"UNMAPPED")</f>
        <v/>
      </c>
    </row>
    <row r="949">
      <c r="A949" s="5" t="n">
        <v>46022</v>
      </c>
      <c r="B949" t="inlineStr">
        <is>
          <t>CZ</t>
        </is>
      </c>
      <c r="C949" t="inlineStr">
        <is>
          <t>CC_CONSOL</t>
        </is>
      </c>
      <c r="D949" t="inlineStr">
        <is>
          <t>1-29</t>
        </is>
      </c>
      <c r="E949" t="n">
        <v>1</v>
      </c>
      <c r="F949" t="n">
        <v>1</v>
      </c>
      <c r="G949" t="n">
        <v>116139.67</v>
      </c>
      <c r="H949">
        <f>IFERROR(VLOOKUP(C949,Lookups!$A$3:$C$7,3,FALSE),"UNMAPPED")</f>
        <v/>
      </c>
    </row>
    <row r="950">
      <c r="A950" s="5" t="n">
        <v>46022</v>
      </c>
      <c r="B950" t="inlineStr">
        <is>
          <t>CZ</t>
        </is>
      </c>
      <c r="C950" t="inlineStr">
        <is>
          <t>CC_CONSOL</t>
        </is>
      </c>
      <c r="D950" t="inlineStr">
        <is>
          <t>30-59</t>
        </is>
      </c>
      <c r="E950" t="n">
        <v>30</v>
      </c>
      <c r="F950" t="n">
        <v>2</v>
      </c>
      <c r="G950" t="n">
        <v>310656.53</v>
      </c>
      <c r="H950">
        <f>IFERROR(VLOOKUP(C950,Lookups!$A$3:$C$7,3,FALSE),"UNMAPPED")</f>
        <v/>
      </c>
    </row>
    <row r="951">
      <c r="A951" s="5" t="n">
        <v>46022</v>
      </c>
      <c r="B951" t="inlineStr">
        <is>
          <t>CZ</t>
        </is>
      </c>
      <c r="C951" t="inlineStr">
        <is>
          <t>CC_GOLD</t>
        </is>
      </c>
      <c r="D951" t="inlineStr">
        <is>
          <t>Current</t>
        </is>
      </c>
      <c r="E951" t="n">
        <v>0</v>
      </c>
      <c r="F951" t="n">
        <v>379</v>
      </c>
      <c r="G951" t="n">
        <v>23308570.26</v>
      </c>
      <c r="H951">
        <f>IFERROR(VLOOKUP(C951,Lookups!$A$3:$C$7,3,FALSE),"UNMAPPED")</f>
        <v/>
      </c>
    </row>
    <row r="952">
      <c r="A952" s="5" t="n">
        <v>46022</v>
      </c>
      <c r="B952" t="inlineStr">
        <is>
          <t>CZ</t>
        </is>
      </c>
      <c r="C952" t="inlineStr">
        <is>
          <t>CC_GOLD</t>
        </is>
      </c>
      <c r="D952" t="inlineStr">
        <is>
          <t>1-29</t>
        </is>
      </c>
      <c r="E952" t="n">
        <v>1</v>
      </c>
      <c r="F952" t="n">
        <v>1</v>
      </c>
      <c r="G952" t="n">
        <v>19715.93</v>
      </c>
      <c r="H952">
        <f>IFERROR(VLOOKUP(C952,Lookups!$A$3:$C$7,3,FALSE),"UNMAPPED")</f>
        <v/>
      </c>
    </row>
    <row r="953">
      <c r="A953" s="5" t="n">
        <v>46022</v>
      </c>
      <c r="B953" t="inlineStr">
        <is>
          <t>CZ</t>
        </is>
      </c>
      <c r="C953" t="inlineStr">
        <is>
          <t>CC_GOLD</t>
        </is>
      </c>
      <c r="D953" t="inlineStr">
        <is>
          <t>30-59</t>
        </is>
      </c>
      <c r="E953" t="n">
        <v>30</v>
      </c>
      <c r="F953" t="n">
        <v>1</v>
      </c>
      <c r="G953" t="n">
        <v>14438.6</v>
      </c>
      <c r="H953">
        <f>IFERROR(VLOOKUP(C953,Lookups!$A$3:$C$7,3,FALSE),"UNMAPPED")</f>
        <v/>
      </c>
    </row>
    <row r="954">
      <c r="A954" s="5" t="n">
        <v>46022</v>
      </c>
      <c r="B954" t="inlineStr">
        <is>
          <t>CZ</t>
        </is>
      </c>
      <c r="C954" t="inlineStr">
        <is>
          <t>CC_GOLD</t>
        </is>
      </c>
      <c r="D954" t="inlineStr">
        <is>
          <t>60-89</t>
        </is>
      </c>
      <c r="E954" t="n">
        <v>60</v>
      </c>
      <c r="F954" t="n">
        <v>1</v>
      </c>
      <c r="G954" t="n">
        <v>125544.94</v>
      </c>
      <c r="H954">
        <f>IFERROR(VLOOKUP(C954,Lookups!$A$3:$C$7,3,FALSE),"UNMAPPED")</f>
        <v/>
      </c>
    </row>
    <row r="955">
      <c r="A955" s="5" t="n">
        <v>46022</v>
      </c>
      <c r="B955" t="inlineStr">
        <is>
          <t>CZ</t>
        </is>
      </c>
      <c r="C955" t="inlineStr">
        <is>
          <t>CC_GOLD</t>
        </is>
      </c>
      <c r="D955" t="inlineStr">
        <is>
          <t>90-179</t>
        </is>
      </c>
      <c r="E955" t="n">
        <v>90</v>
      </c>
      <c r="F955" t="n">
        <v>2</v>
      </c>
      <c r="G955" t="n">
        <v>98251.88</v>
      </c>
      <c r="H955">
        <f>IFERROR(VLOOKUP(C955,Lookups!$A$3:$C$7,3,FALSE),"UNMAPPED")</f>
        <v/>
      </c>
    </row>
    <row r="956">
      <c r="A956" s="5" t="n">
        <v>46022</v>
      </c>
      <c r="B956" t="inlineStr">
        <is>
          <t>CZ</t>
        </is>
      </c>
      <c r="C956" t="inlineStr">
        <is>
          <t>PL_PREM</t>
        </is>
      </c>
      <c r="D956" t="inlineStr">
        <is>
          <t>Current</t>
        </is>
      </c>
      <c r="E956" t="n">
        <v>0</v>
      </c>
      <c r="F956" t="n">
        <v>370</v>
      </c>
      <c r="G956" t="n">
        <v>83712715.06</v>
      </c>
      <c r="H956">
        <f>IFERROR(VLOOKUP(C956,Lookups!$A$3:$C$7,3,FALSE),"UNMAPPED")</f>
        <v/>
      </c>
    </row>
    <row r="957">
      <c r="A957" s="5" t="n">
        <v>46022</v>
      </c>
      <c r="B957" t="inlineStr">
        <is>
          <t>CZ</t>
        </is>
      </c>
      <c r="C957" t="inlineStr">
        <is>
          <t>PL_PREM</t>
        </is>
      </c>
      <c r="D957" t="inlineStr">
        <is>
          <t>1-29</t>
        </is>
      </c>
      <c r="E957" t="n">
        <v>1</v>
      </c>
      <c r="F957" t="n">
        <v>5</v>
      </c>
      <c r="G957" t="n">
        <v>1370491.35</v>
      </c>
      <c r="H957">
        <f>IFERROR(VLOOKUP(C957,Lookups!$A$3:$C$7,3,FALSE),"UNMAPPED")</f>
        <v/>
      </c>
    </row>
    <row r="958">
      <c r="A958" s="5" t="n">
        <v>46022</v>
      </c>
      <c r="B958" t="inlineStr">
        <is>
          <t>CZ</t>
        </is>
      </c>
      <c r="C958" t="inlineStr">
        <is>
          <t>PL_PREM</t>
        </is>
      </c>
      <c r="D958" t="inlineStr">
        <is>
          <t>30-59</t>
        </is>
      </c>
      <c r="E958" t="n">
        <v>30</v>
      </c>
      <c r="F958" t="n">
        <v>2</v>
      </c>
      <c r="G958" t="n">
        <v>173587.62</v>
      </c>
      <c r="H958">
        <f>IFERROR(VLOOKUP(C958,Lookups!$A$3:$C$7,3,FALSE),"UNMAPPED")</f>
        <v/>
      </c>
    </row>
    <row r="959">
      <c r="A959" s="5" t="n">
        <v>46022</v>
      </c>
      <c r="B959" t="inlineStr">
        <is>
          <t>CZ</t>
        </is>
      </c>
      <c r="C959" t="inlineStr">
        <is>
          <t>PL_PREM</t>
        </is>
      </c>
      <c r="D959" t="inlineStr">
        <is>
          <t>60-89</t>
        </is>
      </c>
      <c r="E959" t="n">
        <v>60</v>
      </c>
      <c r="F959" t="n">
        <v>3</v>
      </c>
      <c r="G959" t="n">
        <v>805330.49</v>
      </c>
      <c r="H959">
        <f>IFERROR(VLOOKUP(C959,Lookups!$A$3:$C$7,3,FALSE),"UNMAPPED")</f>
        <v/>
      </c>
    </row>
    <row r="960">
      <c r="A960" s="5" t="n">
        <v>46022</v>
      </c>
      <c r="B960" t="inlineStr">
        <is>
          <t>CZ</t>
        </is>
      </c>
      <c r="C960" t="inlineStr">
        <is>
          <t>PL_PREM</t>
        </is>
      </c>
      <c r="D960" t="inlineStr">
        <is>
          <t>90-179</t>
        </is>
      </c>
      <c r="E960" t="n">
        <v>90</v>
      </c>
      <c r="F960" t="n">
        <v>4</v>
      </c>
      <c r="G960" t="n">
        <v>872185.1899999999</v>
      </c>
      <c r="H960">
        <f>IFERROR(VLOOKUP(C960,Lookups!$A$3:$C$7,3,FALSE),"UNMAPPED")</f>
        <v/>
      </c>
    </row>
    <row r="961">
      <c r="A961" s="5" t="n">
        <v>46022</v>
      </c>
      <c r="B961" t="inlineStr">
        <is>
          <t>CZ</t>
        </is>
      </c>
      <c r="C961" t="inlineStr">
        <is>
          <t>PL_STD</t>
        </is>
      </c>
      <c r="D961" t="inlineStr">
        <is>
          <t>Current</t>
        </is>
      </c>
      <c r="E961" t="n">
        <v>0</v>
      </c>
      <c r="F961" t="n">
        <v>885</v>
      </c>
      <c r="G961" t="n">
        <v>59658247.03</v>
      </c>
      <c r="H961">
        <f>IFERROR(VLOOKUP(C961,Lookups!$A$3:$C$7,3,FALSE),"UNMAPPED")</f>
        <v/>
      </c>
    </row>
    <row r="962">
      <c r="A962" s="5" t="n">
        <v>46022</v>
      </c>
      <c r="B962" t="inlineStr">
        <is>
          <t>CZ</t>
        </is>
      </c>
      <c r="C962" t="inlineStr">
        <is>
          <t>PL_STD</t>
        </is>
      </c>
      <c r="D962" t="inlineStr">
        <is>
          <t>1-29</t>
        </is>
      </c>
      <c r="E962" t="n">
        <v>1</v>
      </c>
      <c r="F962" t="n">
        <v>14</v>
      </c>
      <c r="G962" t="n">
        <v>949331.09</v>
      </c>
      <c r="H962">
        <f>IFERROR(VLOOKUP(C962,Lookups!$A$3:$C$7,3,FALSE),"UNMAPPED")</f>
        <v/>
      </c>
    </row>
    <row r="963">
      <c r="A963" s="5" t="n">
        <v>46022</v>
      </c>
      <c r="B963" t="inlineStr">
        <is>
          <t>CZ</t>
        </is>
      </c>
      <c r="C963" t="inlineStr">
        <is>
          <t>PL_STD</t>
        </is>
      </c>
      <c r="D963" t="inlineStr">
        <is>
          <t>30-59</t>
        </is>
      </c>
      <c r="E963" t="n">
        <v>30</v>
      </c>
      <c r="F963" t="n">
        <v>7</v>
      </c>
      <c r="G963" t="n">
        <v>674068.4300000001</v>
      </c>
      <c r="H963">
        <f>IFERROR(VLOOKUP(C963,Lookups!$A$3:$C$7,3,FALSE),"UNMAPPED")</f>
        <v/>
      </c>
    </row>
    <row r="964">
      <c r="A964" s="5" t="n">
        <v>46022</v>
      </c>
      <c r="B964" t="inlineStr">
        <is>
          <t>CZ</t>
        </is>
      </c>
      <c r="C964" t="inlineStr">
        <is>
          <t>PL_STD</t>
        </is>
      </c>
      <c r="D964" t="inlineStr">
        <is>
          <t>60-89</t>
        </is>
      </c>
      <c r="E964" t="n">
        <v>60</v>
      </c>
      <c r="F964" t="n">
        <v>6</v>
      </c>
      <c r="G964" t="n">
        <v>623536.6800000001</v>
      </c>
      <c r="H964">
        <f>IFERROR(VLOOKUP(C964,Lookups!$A$3:$C$7,3,FALSE),"UNMAPPED")</f>
        <v/>
      </c>
    </row>
    <row r="965">
      <c r="A965" s="5" t="n">
        <v>46022</v>
      </c>
      <c r="B965" t="inlineStr">
        <is>
          <t>CZ</t>
        </is>
      </c>
      <c r="C965" t="inlineStr">
        <is>
          <t>PL_STD</t>
        </is>
      </c>
      <c r="D965" t="inlineStr">
        <is>
          <t>90-179</t>
        </is>
      </c>
      <c r="E965" t="n">
        <v>90</v>
      </c>
      <c r="F965" t="n">
        <v>9</v>
      </c>
      <c r="G965" t="n">
        <v>657412.05</v>
      </c>
      <c r="H965">
        <f>IFERROR(VLOOKUP(C965,Lookups!$A$3:$C$7,3,FALSE),"UNMAPPED")</f>
        <v/>
      </c>
    </row>
    <row r="966">
      <c r="A966" s="5" t="n">
        <v>46022</v>
      </c>
      <c r="B966" t="inlineStr">
        <is>
          <t>PL</t>
        </is>
      </c>
      <c r="C966" t="inlineStr">
        <is>
          <t>CC_CLASSIC</t>
        </is>
      </c>
      <c r="D966" t="inlineStr">
        <is>
          <t>Current</t>
        </is>
      </c>
      <c r="E966" t="n">
        <v>0</v>
      </c>
      <c r="F966" t="n">
        <v>1796</v>
      </c>
      <c r="G966" t="n">
        <v>5257319.19</v>
      </c>
      <c r="H966">
        <f>IFERROR(VLOOKUP(C966,Lookups!$A$3:$C$7,3,FALSE),"UNMAPPED")</f>
        <v/>
      </c>
    </row>
    <row r="967">
      <c r="A967" s="5" t="n">
        <v>46022</v>
      </c>
      <c r="B967" t="inlineStr">
        <is>
          <t>PL</t>
        </is>
      </c>
      <c r="C967" t="inlineStr">
        <is>
          <t>CC_CLASSIC</t>
        </is>
      </c>
      <c r="D967" t="inlineStr">
        <is>
          <t>1-29</t>
        </is>
      </c>
      <c r="E967" t="n">
        <v>1</v>
      </c>
      <c r="F967" t="n">
        <v>23</v>
      </c>
      <c r="G967" t="n">
        <v>51882.56</v>
      </c>
      <c r="H967">
        <f>IFERROR(VLOOKUP(C967,Lookups!$A$3:$C$7,3,FALSE),"UNMAPPED")</f>
        <v/>
      </c>
    </row>
    <row r="968">
      <c r="A968" s="5" t="n">
        <v>46022</v>
      </c>
      <c r="B968" t="inlineStr">
        <is>
          <t>PL</t>
        </is>
      </c>
      <c r="C968" t="inlineStr">
        <is>
          <t>CC_CLASSIC</t>
        </is>
      </c>
      <c r="D968" t="inlineStr">
        <is>
          <t>30-59</t>
        </is>
      </c>
      <c r="E968" t="n">
        <v>30</v>
      </c>
      <c r="F968" t="n">
        <v>19</v>
      </c>
      <c r="G968" t="n">
        <v>73316.77</v>
      </c>
      <c r="H968">
        <f>IFERROR(VLOOKUP(C968,Lookups!$A$3:$C$7,3,FALSE),"UNMAPPED")</f>
        <v/>
      </c>
    </row>
    <row r="969">
      <c r="A969" s="5" t="n">
        <v>46022</v>
      </c>
      <c r="B969" t="inlineStr">
        <is>
          <t>PL</t>
        </is>
      </c>
      <c r="C969" t="inlineStr">
        <is>
          <t>CC_CLASSIC</t>
        </is>
      </c>
      <c r="D969" t="inlineStr">
        <is>
          <t>60-89</t>
        </is>
      </c>
      <c r="E969" t="n">
        <v>60</v>
      </c>
      <c r="F969" t="n">
        <v>10</v>
      </c>
      <c r="G969" t="n">
        <v>23416.94</v>
      </c>
      <c r="H969">
        <f>IFERROR(VLOOKUP(C969,Lookups!$A$3:$C$7,3,FALSE),"UNMAPPED")</f>
        <v/>
      </c>
    </row>
    <row r="970">
      <c r="A970" s="5" t="n">
        <v>46022</v>
      </c>
      <c r="B970" t="inlineStr">
        <is>
          <t>PL</t>
        </is>
      </c>
      <c r="C970" t="inlineStr">
        <is>
          <t>CC_CLASSIC</t>
        </is>
      </c>
      <c r="D970" t="inlineStr">
        <is>
          <t>90-179</t>
        </is>
      </c>
      <c r="E970" t="n">
        <v>90</v>
      </c>
      <c r="F970" t="n">
        <v>36</v>
      </c>
      <c r="G970" t="n">
        <v>119015.63</v>
      </c>
      <c r="H970">
        <f>IFERROR(VLOOKUP(C970,Lookups!$A$3:$C$7,3,FALSE),"UNMAPPED")</f>
        <v/>
      </c>
    </row>
    <row r="971">
      <c r="A971" s="5" t="n">
        <v>46022</v>
      </c>
      <c r="B971" t="inlineStr">
        <is>
          <t>PL</t>
        </is>
      </c>
      <c r="C971" t="inlineStr">
        <is>
          <t>CC_CONSOL</t>
        </is>
      </c>
      <c r="D971" t="inlineStr">
        <is>
          <t>Current</t>
        </is>
      </c>
      <c r="E971" t="n">
        <v>0</v>
      </c>
      <c r="F971" t="n">
        <v>151</v>
      </c>
      <c r="G971" t="n">
        <v>4194622.59</v>
      </c>
      <c r="H971">
        <f>IFERROR(VLOOKUP(C971,Lookups!$A$3:$C$7,3,FALSE),"UNMAPPED")</f>
        <v/>
      </c>
    </row>
    <row r="972">
      <c r="A972" s="5" t="n">
        <v>46022</v>
      </c>
      <c r="B972" t="inlineStr">
        <is>
          <t>PL</t>
        </is>
      </c>
      <c r="C972" t="inlineStr">
        <is>
          <t>CC_CONSOL</t>
        </is>
      </c>
      <c r="D972" t="inlineStr">
        <is>
          <t>1-29</t>
        </is>
      </c>
      <c r="E972" t="n">
        <v>1</v>
      </c>
      <c r="F972" t="n">
        <v>3</v>
      </c>
      <c r="G972" t="n">
        <v>99788.34</v>
      </c>
      <c r="H972">
        <f>IFERROR(VLOOKUP(C972,Lookups!$A$3:$C$7,3,FALSE),"UNMAPPED")</f>
        <v/>
      </c>
    </row>
    <row r="973">
      <c r="A973" s="5" t="n">
        <v>46022</v>
      </c>
      <c r="B973" t="inlineStr">
        <is>
          <t>PL</t>
        </is>
      </c>
      <c r="C973" t="inlineStr">
        <is>
          <t>CC_CONSOL</t>
        </is>
      </c>
      <c r="D973" t="inlineStr">
        <is>
          <t>30-59</t>
        </is>
      </c>
      <c r="E973" t="n">
        <v>30</v>
      </c>
      <c r="F973" t="n">
        <v>2</v>
      </c>
      <c r="G973" t="n">
        <v>55201.25</v>
      </c>
      <c r="H973">
        <f>IFERROR(VLOOKUP(C973,Lookups!$A$3:$C$7,3,FALSE),"UNMAPPED")</f>
        <v/>
      </c>
    </row>
    <row r="974">
      <c r="A974" s="5" t="n">
        <v>46022</v>
      </c>
      <c r="B974" t="inlineStr">
        <is>
          <t>PL</t>
        </is>
      </c>
      <c r="C974" t="inlineStr">
        <is>
          <t>CC_CONSOL</t>
        </is>
      </c>
      <c r="D974" t="inlineStr">
        <is>
          <t>60-89</t>
        </is>
      </c>
      <c r="E974" t="n">
        <v>60</v>
      </c>
      <c r="F974" t="n">
        <v>2</v>
      </c>
      <c r="G974" t="n">
        <v>30612.58</v>
      </c>
      <c r="H974">
        <f>IFERROR(VLOOKUP(C974,Lookups!$A$3:$C$7,3,FALSE),"UNMAPPED")</f>
        <v/>
      </c>
    </row>
    <row r="975">
      <c r="A975" s="5" t="n">
        <v>46022</v>
      </c>
      <c r="B975" t="inlineStr">
        <is>
          <t>PL</t>
        </is>
      </c>
      <c r="C975" t="inlineStr">
        <is>
          <t>CC_CONSOL</t>
        </is>
      </c>
      <c r="D975" t="inlineStr">
        <is>
          <t>90-179</t>
        </is>
      </c>
      <c r="E975" t="n">
        <v>90</v>
      </c>
      <c r="F975" t="n">
        <v>5</v>
      </c>
      <c r="G975" t="n">
        <v>144982.5</v>
      </c>
      <c r="H975">
        <f>IFERROR(VLOOKUP(C975,Lookups!$A$3:$C$7,3,FALSE),"UNMAPPED")</f>
        <v/>
      </c>
    </row>
    <row r="976">
      <c r="A976" s="5" t="n">
        <v>46022</v>
      </c>
      <c r="B976" t="inlineStr">
        <is>
          <t>PL</t>
        </is>
      </c>
      <c r="C976" t="inlineStr">
        <is>
          <t>CC_GOLD</t>
        </is>
      </c>
      <c r="D976" t="inlineStr">
        <is>
          <t>Current</t>
        </is>
      </c>
      <c r="E976" t="n">
        <v>0</v>
      </c>
      <c r="F976" t="n">
        <v>519</v>
      </c>
      <c r="G976" t="n">
        <v>5363945.27</v>
      </c>
      <c r="H976">
        <f>IFERROR(VLOOKUP(C976,Lookups!$A$3:$C$7,3,FALSE),"UNMAPPED")</f>
        <v/>
      </c>
    </row>
    <row r="977">
      <c r="A977" s="5" t="n">
        <v>46022</v>
      </c>
      <c r="B977" t="inlineStr">
        <is>
          <t>PL</t>
        </is>
      </c>
      <c r="C977" t="inlineStr">
        <is>
          <t>CC_GOLD</t>
        </is>
      </c>
      <c r="D977" t="inlineStr">
        <is>
          <t>1-29</t>
        </is>
      </c>
      <c r="E977" t="n">
        <v>1</v>
      </c>
      <c r="F977" t="n">
        <v>7</v>
      </c>
      <c r="G977" t="n">
        <v>87986.38</v>
      </c>
      <c r="H977">
        <f>IFERROR(VLOOKUP(C977,Lookups!$A$3:$C$7,3,FALSE),"UNMAPPED")</f>
        <v/>
      </c>
    </row>
    <row r="978">
      <c r="A978" s="5" t="n">
        <v>46022</v>
      </c>
      <c r="B978" t="inlineStr">
        <is>
          <t>PL</t>
        </is>
      </c>
      <c r="C978" t="inlineStr">
        <is>
          <t>CC_GOLD</t>
        </is>
      </c>
      <c r="D978" t="inlineStr">
        <is>
          <t>30-59</t>
        </is>
      </c>
      <c r="E978" t="n">
        <v>30</v>
      </c>
      <c r="F978" t="n">
        <v>5</v>
      </c>
      <c r="G978" t="n">
        <v>93636.46000000001</v>
      </c>
      <c r="H978">
        <f>IFERROR(VLOOKUP(C978,Lookups!$A$3:$C$7,3,FALSE),"UNMAPPED")</f>
        <v/>
      </c>
    </row>
    <row r="979">
      <c r="A979" s="5" t="n">
        <v>46022</v>
      </c>
      <c r="B979" t="inlineStr">
        <is>
          <t>PL</t>
        </is>
      </c>
      <c r="C979" t="inlineStr">
        <is>
          <t>CC_GOLD</t>
        </is>
      </c>
      <c r="D979" t="inlineStr">
        <is>
          <t>60-89</t>
        </is>
      </c>
      <c r="E979" t="n">
        <v>60</v>
      </c>
      <c r="F979" t="n">
        <v>6</v>
      </c>
      <c r="G979" t="n">
        <v>83623.84</v>
      </c>
      <c r="H979">
        <f>IFERROR(VLOOKUP(C979,Lookups!$A$3:$C$7,3,FALSE),"UNMAPPED")</f>
        <v/>
      </c>
    </row>
    <row r="980">
      <c r="A980" s="5" t="n">
        <v>46022</v>
      </c>
      <c r="B980" t="inlineStr">
        <is>
          <t>PL</t>
        </is>
      </c>
      <c r="C980" t="inlineStr">
        <is>
          <t>CC_GOLD</t>
        </is>
      </c>
      <c r="D980" t="inlineStr">
        <is>
          <t>90-179</t>
        </is>
      </c>
      <c r="E980" t="n">
        <v>90</v>
      </c>
      <c r="F980" t="n">
        <v>13</v>
      </c>
      <c r="G980" t="n">
        <v>134384.67</v>
      </c>
      <c r="H980">
        <f>IFERROR(VLOOKUP(C980,Lookups!$A$3:$C$7,3,FALSE),"UNMAPPED")</f>
        <v/>
      </c>
    </row>
    <row r="981">
      <c r="A981" s="5" t="n">
        <v>46022</v>
      </c>
      <c r="B981" t="inlineStr">
        <is>
          <t>PL</t>
        </is>
      </c>
      <c r="C981" t="inlineStr">
        <is>
          <t>PL_PREM</t>
        </is>
      </c>
      <c r="D981" t="inlineStr">
        <is>
          <t>Current</t>
        </is>
      </c>
      <c r="E981" t="n">
        <v>0</v>
      </c>
      <c r="F981" t="n">
        <v>549</v>
      </c>
      <c r="G981" t="n">
        <v>21375605.27</v>
      </c>
      <c r="H981">
        <f>IFERROR(VLOOKUP(C981,Lookups!$A$3:$C$7,3,FALSE),"UNMAPPED")</f>
        <v/>
      </c>
    </row>
    <row r="982">
      <c r="A982" s="5" t="n">
        <v>46022</v>
      </c>
      <c r="B982" t="inlineStr">
        <is>
          <t>PL</t>
        </is>
      </c>
      <c r="C982" t="inlineStr">
        <is>
          <t>PL_PREM</t>
        </is>
      </c>
      <c r="D982" t="inlineStr">
        <is>
          <t>1-29</t>
        </is>
      </c>
      <c r="E982" t="n">
        <v>1</v>
      </c>
      <c r="F982" t="n">
        <v>15</v>
      </c>
      <c r="G982" t="n">
        <v>655102.96</v>
      </c>
      <c r="H982">
        <f>IFERROR(VLOOKUP(C982,Lookups!$A$3:$C$7,3,FALSE),"UNMAPPED")</f>
        <v/>
      </c>
    </row>
    <row r="983">
      <c r="A983" s="5" t="n">
        <v>46022</v>
      </c>
      <c r="B983" t="inlineStr">
        <is>
          <t>PL</t>
        </is>
      </c>
      <c r="C983" t="inlineStr">
        <is>
          <t>PL_PREM</t>
        </is>
      </c>
      <c r="D983" t="inlineStr">
        <is>
          <t>30-59</t>
        </is>
      </c>
      <c r="E983" t="n">
        <v>30</v>
      </c>
      <c r="F983" t="n">
        <v>10</v>
      </c>
      <c r="G983" t="n">
        <v>495558.67</v>
      </c>
      <c r="H983">
        <f>IFERROR(VLOOKUP(C983,Lookups!$A$3:$C$7,3,FALSE),"UNMAPPED")</f>
        <v/>
      </c>
    </row>
    <row r="984">
      <c r="A984" s="5" t="n">
        <v>46022</v>
      </c>
      <c r="B984" t="inlineStr">
        <is>
          <t>PL</t>
        </is>
      </c>
      <c r="C984" t="inlineStr">
        <is>
          <t>PL_PREM</t>
        </is>
      </c>
      <c r="D984" t="inlineStr">
        <is>
          <t>60-89</t>
        </is>
      </c>
      <c r="E984" t="n">
        <v>60</v>
      </c>
      <c r="F984" t="n">
        <v>6</v>
      </c>
      <c r="G984" t="n">
        <v>315631.29</v>
      </c>
      <c r="H984">
        <f>IFERROR(VLOOKUP(C984,Lookups!$A$3:$C$7,3,FALSE),"UNMAPPED")</f>
        <v/>
      </c>
    </row>
    <row r="985">
      <c r="A985" s="5" t="n">
        <v>46022</v>
      </c>
      <c r="B985" t="inlineStr">
        <is>
          <t>PL</t>
        </is>
      </c>
      <c r="C985" t="inlineStr">
        <is>
          <t>PL_PREM</t>
        </is>
      </c>
      <c r="D985" t="inlineStr">
        <is>
          <t>90-179</t>
        </is>
      </c>
      <c r="E985" t="n">
        <v>90</v>
      </c>
      <c r="F985" t="n">
        <v>7</v>
      </c>
      <c r="G985" t="n">
        <v>307170.03</v>
      </c>
      <c r="H985">
        <f>IFERROR(VLOOKUP(C985,Lookups!$A$3:$C$7,3,FALSE),"UNMAPPED")</f>
        <v/>
      </c>
    </row>
    <row r="986">
      <c r="A986" s="5" t="n">
        <v>46022</v>
      </c>
      <c r="B986" t="inlineStr">
        <is>
          <t>PL</t>
        </is>
      </c>
      <c r="C986" t="inlineStr">
        <is>
          <t>PL_STD</t>
        </is>
      </c>
      <c r="D986" t="inlineStr">
        <is>
          <t>Current</t>
        </is>
      </c>
      <c r="E986" t="n">
        <v>0</v>
      </c>
      <c r="F986" t="n">
        <v>1180</v>
      </c>
      <c r="G986" t="n">
        <v>13509661.67</v>
      </c>
      <c r="H986">
        <f>IFERROR(VLOOKUP(C986,Lookups!$A$3:$C$7,3,FALSE),"UNMAPPED")</f>
        <v/>
      </c>
    </row>
    <row r="987">
      <c r="A987" s="5" t="n">
        <v>46022</v>
      </c>
      <c r="B987" t="inlineStr">
        <is>
          <t>PL</t>
        </is>
      </c>
      <c r="C987" t="inlineStr">
        <is>
          <t>PL_STD</t>
        </is>
      </c>
      <c r="D987" t="inlineStr">
        <is>
          <t>1-29</t>
        </is>
      </c>
      <c r="E987" t="n">
        <v>1</v>
      </c>
      <c r="F987" t="n">
        <v>23</v>
      </c>
      <c r="G987" t="n">
        <v>239110.05</v>
      </c>
      <c r="H987">
        <f>IFERROR(VLOOKUP(C987,Lookups!$A$3:$C$7,3,FALSE),"UNMAPPED")</f>
        <v/>
      </c>
    </row>
    <row r="988">
      <c r="A988" s="5" t="n">
        <v>46022</v>
      </c>
      <c r="B988" t="inlineStr">
        <is>
          <t>PL</t>
        </is>
      </c>
      <c r="C988" t="inlineStr">
        <is>
          <t>PL_STD</t>
        </is>
      </c>
      <c r="D988" t="inlineStr">
        <is>
          <t>30-59</t>
        </is>
      </c>
      <c r="E988" t="n">
        <v>30</v>
      </c>
      <c r="F988" t="n">
        <v>12</v>
      </c>
      <c r="G988" t="n">
        <v>154805.27</v>
      </c>
      <c r="H988">
        <f>IFERROR(VLOOKUP(C988,Lookups!$A$3:$C$7,3,FALSE),"UNMAPPED")</f>
        <v/>
      </c>
    </row>
    <row r="989">
      <c r="A989" s="5" t="n">
        <v>46022</v>
      </c>
      <c r="B989" t="inlineStr">
        <is>
          <t>PL</t>
        </is>
      </c>
      <c r="C989" t="inlineStr">
        <is>
          <t>PL_STD</t>
        </is>
      </c>
      <c r="D989" t="inlineStr">
        <is>
          <t>60-89</t>
        </is>
      </c>
      <c r="E989" t="n">
        <v>60</v>
      </c>
      <c r="F989" t="n">
        <v>10</v>
      </c>
      <c r="G989" t="n">
        <v>171721.14</v>
      </c>
      <c r="H989">
        <f>IFERROR(VLOOKUP(C989,Lookups!$A$3:$C$7,3,FALSE),"UNMAPPED")</f>
        <v/>
      </c>
    </row>
    <row r="990">
      <c r="A990" s="5" t="n">
        <v>46022</v>
      </c>
      <c r="B990" t="inlineStr">
        <is>
          <t>PL</t>
        </is>
      </c>
      <c r="C990" t="inlineStr">
        <is>
          <t>PL_STD</t>
        </is>
      </c>
      <c r="D990" t="inlineStr">
        <is>
          <t>90-179</t>
        </is>
      </c>
      <c r="E990" t="n">
        <v>90</v>
      </c>
      <c r="F990" t="n">
        <v>20</v>
      </c>
      <c r="G990" t="n">
        <v>214881.28</v>
      </c>
      <c r="H990">
        <f>IFERROR(VLOOKUP(C990,Lookups!$A$3:$C$7,3,FALSE),"UNMAPPED")</f>
        <v/>
      </c>
    </row>
    <row r="991">
      <c r="A991" s="5" t="n">
        <v>46022</v>
      </c>
      <c r="B991" t="inlineStr">
        <is>
          <t>RO</t>
        </is>
      </c>
      <c r="C991" t="inlineStr">
        <is>
          <t>CC_CLASSIC</t>
        </is>
      </c>
      <c r="D991" t="inlineStr">
        <is>
          <t>Current</t>
        </is>
      </c>
      <c r="E991" t="n">
        <v>0</v>
      </c>
      <c r="F991" t="n">
        <v>1010</v>
      </c>
      <c r="G991" t="n">
        <v>3461096.47</v>
      </c>
      <c r="H991">
        <f>IFERROR(VLOOKUP(C991,Lookups!$A$3:$C$7,3,FALSE),"UNMAPPED")</f>
        <v/>
      </c>
    </row>
    <row r="992">
      <c r="A992" s="5" t="n">
        <v>46022</v>
      </c>
      <c r="B992" t="inlineStr">
        <is>
          <t>RO</t>
        </is>
      </c>
      <c r="C992" t="inlineStr">
        <is>
          <t>CC_CLASSIC</t>
        </is>
      </c>
      <c r="D992" t="inlineStr">
        <is>
          <t>1-29</t>
        </is>
      </c>
      <c r="E992" t="n">
        <v>1</v>
      </c>
      <c r="F992" t="n">
        <v>19</v>
      </c>
      <c r="G992" t="n">
        <v>73795.71000000001</v>
      </c>
      <c r="H992">
        <f>IFERROR(VLOOKUP(C992,Lookups!$A$3:$C$7,3,FALSE),"UNMAPPED")</f>
        <v/>
      </c>
    </row>
    <row r="993">
      <c r="A993" s="5" t="n">
        <v>46022</v>
      </c>
      <c r="B993" t="inlineStr">
        <is>
          <t>RO</t>
        </is>
      </c>
      <c r="C993" t="inlineStr">
        <is>
          <t>CC_CLASSIC</t>
        </is>
      </c>
      <c r="D993" t="inlineStr">
        <is>
          <t>30-59</t>
        </is>
      </c>
      <c r="E993" t="n">
        <v>30</v>
      </c>
      <c r="F993" t="n">
        <v>12</v>
      </c>
      <c r="G993" t="n">
        <v>47908.82</v>
      </c>
      <c r="H993">
        <f>IFERROR(VLOOKUP(C993,Lookups!$A$3:$C$7,3,FALSE),"UNMAPPED")</f>
        <v/>
      </c>
    </row>
    <row r="994">
      <c r="A994" s="5" t="n">
        <v>46022</v>
      </c>
      <c r="B994" t="inlineStr">
        <is>
          <t>RO</t>
        </is>
      </c>
      <c r="C994" t="inlineStr">
        <is>
          <t>CC_CLASSIC</t>
        </is>
      </c>
      <c r="D994" t="inlineStr">
        <is>
          <t>60-89</t>
        </is>
      </c>
      <c r="E994" t="n">
        <v>60</v>
      </c>
      <c r="F994" t="n">
        <v>6</v>
      </c>
      <c r="G994" t="n">
        <v>35531.55</v>
      </c>
      <c r="H994">
        <f>IFERROR(VLOOKUP(C994,Lookups!$A$3:$C$7,3,FALSE),"UNMAPPED")</f>
        <v/>
      </c>
    </row>
    <row r="995">
      <c r="A995" s="5" t="n">
        <v>46022</v>
      </c>
      <c r="B995" t="inlineStr">
        <is>
          <t>RO</t>
        </is>
      </c>
      <c r="C995" t="inlineStr">
        <is>
          <t>CC_CLASSIC</t>
        </is>
      </c>
      <c r="D995" t="inlineStr">
        <is>
          <t>90-179</t>
        </is>
      </c>
      <c r="E995" t="n">
        <v>90</v>
      </c>
      <c r="F995" t="n">
        <v>25</v>
      </c>
      <c r="G995" t="n">
        <v>66213.5</v>
      </c>
      <c r="H995">
        <f>IFERROR(VLOOKUP(C995,Lookups!$A$3:$C$7,3,FALSE),"UNMAPPED")</f>
        <v/>
      </c>
    </row>
    <row r="996">
      <c r="A996" s="5" t="n">
        <v>46022</v>
      </c>
      <c r="B996" t="inlineStr">
        <is>
          <t>RO</t>
        </is>
      </c>
      <c r="C996" t="inlineStr">
        <is>
          <t>CC_CONSOL</t>
        </is>
      </c>
      <c r="D996" t="inlineStr">
        <is>
          <t>Current</t>
        </is>
      </c>
      <c r="E996" t="n">
        <v>0</v>
      </c>
      <c r="F996" t="n">
        <v>85</v>
      </c>
      <c r="G996" t="n">
        <v>2740098.48</v>
      </c>
      <c r="H996">
        <f>IFERROR(VLOOKUP(C996,Lookups!$A$3:$C$7,3,FALSE),"UNMAPPED")</f>
        <v/>
      </c>
    </row>
    <row r="997">
      <c r="A997" s="5" t="n">
        <v>46022</v>
      </c>
      <c r="B997" t="inlineStr">
        <is>
          <t>RO</t>
        </is>
      </c>
      <c r="C997" t="inlineStr">
        <is>
          <t>CC_CONSOL</t>
        </is>
      </c>
      <c r="D997" t="inlineStr">
        <is>
          <t>1-29</t>
        </is>
      </c>
      <c r="E997" t="n">
        <v>1</v>
      </c>
      <c r="F997" t="n">
        <v>2</v>
      </c>
      <c r="G997" t="n">
        <v>92418.99000000001</v>
      </c>
      <c r="H997">
        <f>IFERROR(VLOOKUP(C997,Lookups!$A$3:$C$7,3,FALSE),"UNMAPPED")</f>
        <v/>
      </c>
    </row>
    <row r="998">
      <c r="A998" s="5" t="n">
        <v>46022</v>
      </c>
      <c r="B998" t="inlineStr">
        <is>
          <t>RO</t>
        </is>
      </c>
      <c r="C998" t="inlineStr">
        <is>
          <t>CC_CONSOL</t>
        </is>
      </c>
      <c r="D998" t="inlineStr">
        <is>
          <t>60-89</t>
        </is>
      </c>
      <c r="E998" t="n">
        <v>60</v>
      </c>
      <c r="F998" t="n">
        <v>2</v>
      </c>
      <c r="G998" t="n">
        <v>42674.46</v>
      </c>
      <c r="H998">
        <f>IFERROR(VLOOKUP(C998,Lookups!$A$3:$C$7,3,FALSE),"UNMAPPED")</f>
        <v/>
      </c>
    </row>
    <row r="999">
      <c r="A999" s="5" t="n">
        <v>46022</v>
      </c>
      <c r="B999" t="inlineStr">
        <is>
          <t>RO</t>
        </is>
      </c>
      <c r="C999" t="inlineStr">
        <is>
          <t>CC_CONSOL</t>
        </is>
      </c>
      <c r="D999" t="inlineStr">
        <is>
          <t>90-179</t>
        </is>
      </c>
      <c r="E999" t="n">
        <v>90</v>
      </c>
      <c r="F999" t="n">
        <v>2</v>
      </c>
      <c r="G999" t="n">
        <v>92048.50999999999</v>
      </c>
      <c r="H999">
        <f>IFERROR(VLOOKUP(C999,Lookups!$A$3:$C$7,3,FALSE),"UNMAPPED")</f>
        <v/>
      </c>
    </row>
    <row r="1000">
      <c r="A1000" s="5" t="n">
        <v>46022</v>
      </c>
      <c r="B1000" t="inlineStr">
        <is>
          <t>RO</t>
        </is>
      </c>
      <c r="C1000" t="inlineStr">
        <is>
          <t>CC_GOLD</t>
        </is>
      </c>
      <c r="D1000" t="inlineStr">
        <is>
          <t>Current</t>
        </is>
      </c>
      <c r="E1000" t="n">
        <v>0</v>
      </c>
      <c r="F1000" t="n">
        <v>282</v>
      </c>
      <c r="G1000" t="n">
        <v>3122774.47</v>
      </c>
      <c r="H1000">
        <f>IFERROR(VLOOKUP(C1000,Lookups!$A$3:$C$7,3,FALSE),"UNMAPPED")</f>
        <v/>
      </c>
    </row>
    <row r="1001">
      <c r="A1001" s="5" t="n">
        <v>46022</v>
      </c>
      <c r="B1001" t="inlineStr">
        <is>
          <t>RO</t>
        </is>
      </c>
      <c r="C1001" t="inlineStr">
        <is>
          <t>CC_GOLD</t>
        </is>
      </c>
      <c r="D1001" t="inlineStr">
        <is>
          <t>1-29</t>
        </is>
      </c>
      <c r="E1001" t="n">
        <v>1</v>
      </c>
      <c r="F1001" t="n">
        <v>3</v>
      </c>
      <c r="G1001" t="n">
        <v>28977.25</v>
      </c>
      <c r="H1001">
        <f>IFERROR(VLOOKUP(C1001,Lookups!$A$3:$C$7,3,FALSE),"UNMAPPED")</f>
        <v/>
      </c>
    </row>
    <row r="1002">
      <c r="A1002" s="5" t="n">
        <v>46022</v>
      </c>
      <c r="B1002" t="inlineStr">
        <is>
          <t>RO</t>
        </is>
      </c>
      <c r="C1002" t="inlineStr">
        <is>
          <t>CC_GOLD</t>
        </is>
      </c>
      <c r="D1002" t="inlineStr">
        <is>
          <t>30-59</t>
        </is>
      </c>
      <c r="E1002" t="n">
        <v>30</v>
      </c>
      <c r="F1002" t="n">
        <v>2</v>
      </c>
      <c r="G1002" t="n">
        <v>23522.42</v>
      </c>
      <c r="H1002">
        <f>IFERROR(VLOOKUP(C1002,Lookups!$A$3:$C$7,3,FALSE),"UNMAPPED")</f>
        <v/>
      </c>
    </row>
    <row r="1003">
      <c r="A1003" s="5" t="n">
        <v>46022</v>
      </c>
      <c r="B1003" t="inlineStr">
        <is>
          <t>RO</t>
        </is>
      </c>
      <c r="C1003" t="inlineStr">
        <is>
          <t>CC_GOLD</t>
        </is>
      </c>
      <c r="D1003" t="inlineStr">
        <is>
          <t>60-89</t>
        </is>
      </c>
      <c r="E1003" t="n">
        <v>60</v>
      </c>
      <c r="F1003" t="n">
        <v>4</v>
      </c>
      <c r="G1003" t="n">
        <v>36241.28</v>
      </c>
      <c r="H1003">
        <f>IFERROR(VLOOKUP(C1003,Lookups!$A$3:$C$7,3,FALSE),"UNMAPPED")</f>
        <v/>
      </c>
    </row>
    <row r="1004">
      <c r="A1004" s="5" t="n">
        <v>46022</v>
      </c>
      <c r="B1004" t="inlineStr">
        <is>
          <t>RO</t>
        </is>
      </c>
      <c r="C1004" t="inlineStr">
        <is>
          <t>CC_GOLD</t>
        </is>
      </c>
      <c r="D1004" t="inlineStr">
        <is>
          <t>90-179</t>
        </is>
      </c>
      <c r="E1004" t="n">
        <v>90</v>
      </c>
      <c r="F1004" t="n">
        <v>5</v>
      </c>
      <c r="G1004" t="n">
        <v>97629.2</v>
      </c>
      <c r="H1004">
        <f>IFERROR(VLOOKUP(C1004,Lookups!$A$3:$C$7,3,FALSE),"UNMAPPED")</f>
        <v/>
      </c>
    </row>
    <row r="1005">
      <c r="A1005" s="5" t="n">
        <v>46022</v>
      </c>
      <c r="B1005" t="inlineStr">
        <is>
          <t>RO</t>
        </is>
      </c>
      <c r="C1005" t="inlineStr">
        <is>
          <t>PL_PREM</t>
        </is>
      </c>
      <c r="D1005" t="inlineStr">
        <is>
          <t>Current</t>
        </is>
      </c>
      <c r="E1005" t="n">
        <v>0</v>
      </c>
      <c r="F1005" t="n">
        <v>326</v>
      </c>
      <c r="G1005" t="n">
        <v>14735918</v>
      </c>
      <c r="H1005">
        <f>IFERROR(VLOOKUP(C1005,Lookups!$A$3:$C$7,3,FALSE),"UNMAPPED")</f>
        <v/>
      </c>
    </row>
    <row r="1006">
      <c r="A1006" s="5" t="n">
        <v>46022</v>
      </c>
      <c r="B1006" t="inlineStr">
        <is>
          <t>RO</t>
        </is>
      </c>
      <c r="C1006" t="inlineStr">
        <is>
          <t>PL_PREM</t>
        </is>
      </c>
      <c r="D1006" t="inlineStr">
        <is>
          <t>1-29</t>
        </is>
      </c>
      <c r="E1006" t="n">
        <v>1</v>
      </c>
      <c r="F1006" t="n">
        <v>6</v>
      </c>
      <c r="G1006" t="n">
        <v>163796.56</v>
      </c>
      <c r="H1006">
        <f>IFERROR(VLOOKUP(C1006,Lookups!$A$3:$C$7,3,FALSE),"UNMAPPED")</f>
        <v/>
      </c>
    </row>
    <row r="1007">
      <c r="A1007" s="5" t="n">
        <v>46022</v>
      </c>
      <c r="B1007" t="inlineStr">
        <is>
          <t>RO</t>
        </is>
      </c>
      <c r="C1007" t="inlineStr">
        <is>
          <t>PL_PREM</t>
        </is>
      </c>
      <c r="D1007" t="inlineStr">
        <is>
          <t>30-59</t>
        </is>
      </c>
      <c r="E1007" t="n">
        <v>30</v>
      </c>
      <c r="F1007" t="n">
        <v>3</v>
      </c>
      <c r="G1007" t="n">
        <v>213181.14</v>
      </c>
      <c r="H1007">
        <f>IFERROR(VLOOKUP(C1007,Lookups!$A$3:$C$7,3,FALSE),"UNMAPPED")</f>
        <v/>
      </c>
    </row>
    <row r="1008">
      <c r="A1008" s="5" t="n">
        <v>46022</v>
      </c>
      <c r="B1008" t="inlineStr">
        <is>
          <t>RO</t>
        </is>
      </c>
      <c r="C1008" t="inlineStr">
        <is>
          <t>PL_PREM</t>
        </is>
      </c>
      <c r="D1008" t="inlineStr">
        <is>
          <t>60-89</t>
        </is>
      </c>
      <c r="E1008" t="n">
        <v>60</v>
      </c>
      <c r="F1008" t="n">
        <v>2</v>
      </c>
      <c r="G1008" t="n">
        <v>198752.11</v>
      </c>
      <c r="H1008">
        <f>IFERROR(VLOOKUP(C1008,Lookups!$A$3:$C$7,3,FALSE),"UNMAPPED")</f>
        <v/>
      </c>
    </row>
    <row r="1009">
      <c r="A1009" s="5" t="n">
        <v>46022</v>
      </c>
      <c r="B1009" t="inlineStr">
        <is>
          <t>RO</t>
        </is>
      </c>
      <c r="C1009" t="inlineStr">
        <is>
          <t>PL_PREM</t>
        </is>
      </c>
      <c r="D1009" t="inlineStr">
        <is>
          <t>90-179</t>
        </is>
      </c>
      <c r="E1009" t="n">
        <v>90</v>
      </c>
      <c r="F1009" t="n">
        <v>4</v>
      </c>
      <c r="G1009" t="n">
        <v>108329.39</v>
      </c>
      <c r="H1009">
        <f>IFERROR(VLOOKUP(C1009,Lookups!$A$3:$C$7,3,FALSE),"UNMAPPED")</f>
        <v/>
      </c>
    </row>
    <row r="1010">
      <c r="A1010" s="5" t="n">
        <v>46022</v>
      </c>
      <c r="B1010" t="inlineStr">
        <is>
          <t>RO</t>
        </is>
      </c>
      <c r="C1010" t="inlineStr">
        <is>
          <t>PL_STD</t>
        </is>
      </c>
      <c r="D1010" t="inlineStr">
        <is>
          <t>Current</t>
        </is>
      </c>
      <c r="E1010" t="n">
        <v>0</v>
      </c>
      <c r="F1010" t="n">
        <v>784</v>
      </c>
      <c r="G1010" t="n">
        <v>11462618.67</v>
      </c>
      <c r="H1010">
        <f>IFERROR(VLOOKUP(C1010,Lookups!$A$3:$C$7,3,FALSE),"UNMAPPED")</f>
        <v/>
      </c>
    </row>
    <row r="1011">
      <c r="A1011" s="5" t="n">
        <v>46022</v>
      </c>
      <c r="B1011" t="inlineStr">
        <is>
          <t>RO</t>
        </is>
      </c>
      <c r="C1011" t="inlineStr">
        <is>
          <t>PL_STD</t>
        </is>
      </c>
      <c r="D1011" t="inlineStr">
        <is>
          <t>1-29</t>
        </is>
      </c>
      <c r="E1011" t="n">
        <v>1</v>
      </c>
      <c r="F1011" t="n">
        <v>26</v>
      </c>
      <c r="G1011" t="n">
        <v>381541.76</v>
      </c>
      <c r="H1011">
        <f>IFERROR(VLOOKUP(C1011,Lookups!$A$3:$C$7,3,FALSE),"UNMAPPED")</f>
        <v/>
      </c>
    </row>
    <row r="1012">
      <c r="A1012" s="5" t="n">
        <v>46022</v>
      </c>
      <c r="B1012" t="inlineStr">
        <is>
          <t>RO</t>
        </is>
      </c>
      <c r="C1012" t="inlineStr">
        <is>
          <t>PL_STD</t>
        </is>
      </c>
      <c r="D1012" t="inlineStr">
        <is>
          <t>30-59</t>
        </is>
      </c>
      <c r="E1012" t="n">
        <v>30</v>
      </c>
      <c r="F1012" t="n">
        <v>7</v>
      </c>
      <c r="G1012" t="n">
        <v>128377.48</v>
      </c>
      <c r="H1012">
        <f>IFERROR(VLOOKUP(C1012,Lookups!$A$3:$C$7,3,FALSE),"UNMAPPED")</f>
        <v/>
      </c>
    </row>
    <row r="1013">
      <c r="A1013" s="5" t="n">
        <v>46022</v>
      </c>
      <c r="B1013" t="inlineStr">
        <is>
          <t>RO</t>
        </is>
      </c>
      <c r="C1013" t="inlineStr">
        <is>
          <t>PL_STD</t>
        </is>
      </c>
      <c r="D1013" t="inlineStr">
        <is>
          <t>60-89</t>
        </is>
      </c>
      <c r="E1013" t="n">
        <v>60</v>
      </c>
      <c r="F1013" t="n">
        <v>6</v>
      </c>
      <c r="G1013" t="n">
        <v>105056.02</v>
      </c>
      <c r="H1013">
        <f>IFERROR(VLOOKUP(C1013,Lookups!$A$3:$C$7,3,FALSE),"UNMAPPED")</f>
        <v/>
      </c>
    </row>
    <row r="1014">
      <c r="A1014" s="5" t="n">
        <v>46022</v>
      </c>
      <c r="B1014" t="inlineStr">
        <is>
          <t>RO</t>
        </is>
      </c>
      <c r="C1014" t="inlineStr">
        <is>
          <t>PL_STD</t>
        </is>
      </c>
      <c r="D1014" t="inlineStr">
        <is>
          <t>90-179</t>
        </is>
      </c>
      <c r="E1014" t="n">
        <v>90</v>
      </c>
      <c r="F1014" t="n">
        <v>14</v>
      </c>
      <c r="G1014" t="n">
        <v>227055.5</v>
      </c>
      <c r="H1014">
        <f>IFERROR(VLOOKUP(C1014,Lookups!$A$3:$C$7,3,FALSE),"UNMAPPED")</f>
        <v/>
      </c>
    </row>
    <row r="1015">
      <c r="A1015" s="5" t="n">
        <v>46053</v>
      </c>
      <c r="B1015" t="inlineStr">
        <is>
          <t>CZ</t>
        </is>
      </c>
      <c r="C1015" t="inlineStr">
        <is>
          <t>CC_CLASSIC</t>
        </is>
      </c>
      <c r="D1015" t="inlineStr">
        <is>
          <t>Current</t>
        </is>
      </c>
      <c r="E1015" t="n">
        <v>0</v>
      </c>
      <c r="F1015" t="n">
        <v>1401</v>
      </c>
      <c r="G1015" t="n">
        <v>23152189.22</v>
      </c>
      <c r="H1015">
        <f>IFERROR(VLOOKUP(C1015,Lookups!$A$3:$C$7,3,FALSE),"UNMAPPED")</f>
        <v/>
      </c>
    </row>
    <row r="1016">
      <c r="A1016" s="5" t="n">
        <v>46053</v>
      </c>
      <c r="B1016" t="inlineStr">
        <is>
          <t>CZ</t>
        </is>
      </c>
      <c r="C1016" t="inlineStr">
        <is>
          <t>CC_CLASSIC</t>
        </is>
      </c>
      <c r="D1016" t="inlineStr">
        <is>
          <t>1-29</t>
        </is>
      </c>
      <c r="E1016" t="n">
        <v>1</v>
      </c>
      <c r="F1016" t="n">
        <v>15</v>
      </c>
      <c r="G1016" t="n">
        <v>331310.75</v>
      </c>
      <c r="H1016">
        <f>IFERROR(VLOOKUP(C1016,Lookups!$A$3:$C$7,3,FALSE),"UNMAPPED")</f>
        <v/>
      </c>
    </row>
    <row r="1017">
      <c r="A1017" s="5" t="n">
        <v>46053</v>
      </c>
      <c r="B1017" t="inlineStr">
        <is>
          <t>CZ</t>
        </is>
      </c>
      <c r="C1017" t="inlineStr">
        <is>
          <t>CC_CLASSIC</t>
        </is>
      </c>
      <c r="D1017" t="inlineStr">
        <is>
          <t>30-59</t>
        </is>
      </c>
      <c r="E1017" t="n">
        <v>30</v>
      </c>
      <c r="F1017" t="n">
        <v>13</v>
      </c>
      <c r="G1017" t="n">
        <v>135349.88</v>
      </c>
      <c r="H1017">
        <f>IFERROR(VLOOKUP(C1017,Lookups!$A$3:$C$7,3,FALSE),"UNMAPPED")</f>
        <v/>
      </c>
    </row>
    <row r="1018">
      <c r="A1018" s="5" t="n">
        <v>46053</v>
      </c>
      <c r="B1018" t="inlineStr">
        <is>
          <t>CZ</t>
        </is>
      </c>
      <c r="C1018" t="inlineStr">
        <is>
          <t>CC_CLASSIC</t>
        </is>
      </c>
      <c r="D1018" t="inlineStr">
        <is>
          <t>60-89</t>
        </is>
      </c>
      <c r="E1018" t="n">
        <v>60</v>
      </c>
      <c r="F1018" t="n">
        <v>8</v>
      </c>
      <c r="G1018" t="n">
        <v>107055.28</v>
      </c>
      <c r="H1018">
        <f>IFERROR(VLOOKUP(C1018,Lookups!$A$3:$C$7,3,FALSE),"UNMAPPED")</f>
        <v/>
      </c>
    </row>
    <row r="1019">
      <c r="A1019" s="5" t="n">
        <v>46053</v>
      </c>
      <c r="B1019" t="inlineStr">
        <is>
          <t>CZ</t>
        </is>
      </c>
      <c r="C1019" t="inlineStr">
        <is>
          <t>CC_CLASSIC</t>
        </is>
      </c>
      <c r="D1019" t="inlineStr">
        <is>
          <t>90-179</t>
        </is>
      </c>
      <c r="E1019" t="n">
        <v>90</v>
      </c>
      <c r="F1019" t="n">
        <v>17</v>
      </c>
      <c r="G1019" t="n">
        <v>343334.56</v>
      </c>
      <c r="H1019">
        <f>IFERROR(VLOOKUP(C1019,Lookups!$A$3:$C$7,3,FALSE),"UNMAPPED")</f>
        <v/>
      </c>
    </row>
    <row r="1020">
      <c r="A1020" s="5" t="n">
        <v>46053</v>
      </c>
      <c r="B1020" t="inlineStr">
        <is>
          <t>CZ</t>
        </is>
      </c>
      <c r="C1020" t="inlineStr">
        <is>
          <t>CC_CONSOL</t>
        </is>
      </c>
      <c r="D1020" t="inlineStr">
        <is>
          <t>Current</t>
        </is>
      </c>
      <c r="E1020" t="n">
        <v>0</v>
      </c>
      <c r="F1020" t="n">
        <v>127</v>
      </c>
      <c r="G1020" t="n">
        <v>17936246.88</v>
      </c>
      <c r="H1020">
        <f>IFERROR(VLOOKUP(C1020,Lookups!$A$3:$C$7,3,FALSE),"UNMAPPED")</f>
        <v/>
      </c>
    </row>
    <row r="1021">
      <c r="A1021" s="5" t="n">
        <v>46053</v>
      </c>
      <c r="B1021" t="inlineStr">
        <is>
          <t>CZ</t>
        </is>
      </c>
      <c r="C1021" t="inlineStr">
        <is>
          <t>CC_CONSOL</t>
        </is>
      </c>
      <c r="D1021" t="inlineStr">
        <is>
          <t>1-29</t>
        </is>
      </c>
      <c r="E1021" t="n">
        <v>1</v>
      </c>
      <c r="F1021" t="n">
        <v>4</v>
      </c>
      <c r="G1021" t="n">
        <v>592550.23</v>
      </c>
      <c r="H1021">
        <f>IFERROR(VLOOKUP(C1021,Lookups!$A$3:$C$7,3,FALSE),"UNMAPPED")</f>
        <v/>
      </c>
    </row>
    <row r="1022">
      <c r="A1022" s="5" t="n">
        <v>46053</v>
      </c>
      <c r="B1022" t="inlineStr">
        <is>
          <t>CZ</t>
        </is>
      </c>
      <c r="C1022" t="inlineStr">
        <is>
          <t>CC_CONSOL</t>
        </is>
      </c>
      <c r="D1022" t="inlineStr">
        <is>
          <t>60-89</t>
        </is>
      </c>
      <c r="E1022" t="n">
        <v>60</v>
      </c>
      <c r="F1022" t="n">
        <v>2</v>
      </c>
      <c r="G1022" t="n">
        <v>313737.21</v>
      </c>
      <c r="H1022">
        <f>IFERROR(VLOOKUP(C1022,Lookups!$A$3:$C$7,3,FALSE),"UNMAPPED")</f>
        <v/>
      </c>
    </row>
    <row r="1023">
      <c r="A1023" s="5" t="n">
        <v>46053</v>
      </c>
      <c r="B1023" t="inlineStr">
        <is>
          <t>CZ</t>
        </is>
      </c>
      <c r="C1023" t="inlineStr">
        <is>
          <t>CC_GOLD</t>
        </is>
      </c>
      <c r="D1023" t="inlineStr">
        <is>
          <t>Current</t>
        </is>
      </c>
      <c r="E1023" t="n">
        <v>0</v>
      </c>
      <c r="F1023" t="n">
        <v>388</v>
      </c>
      <c r="G1023" t="n">
        <v>23884122.04</v>
      </c>
      <c r="H1023">
        <f>IFERROR(VLOOKUP(C1023,Lookups!$A$3:$C$7,3,FALSE),"UNMAPPED")</f>
        <v/>
      </c>
    </row>
    <row r="1024">
      <c r="A1024" s="5" t="n">
        <v>46053</v>
      </c>
      <c r="B1024" t="inlineStr">
        <is>
          <t>CZ</t>
        </is>
      </c>
      <c r="C1024" t="inlineStr">
        <is>
          <t>CC_GOLD</t>
        </is>
      </c>
      <c r="D1024" t="inlineStr">
        <is>
          <t>1-29</t>
        </is>
      </c>
      <c r="E1024" t="n">
        <v>1</v>
      </c>
      <c r="F1024" t="n">
        <v>1</v>
      </c>
      <c r="G1024" t="n">
        <v>118104.73</v>
      </c>
      <c r="H1024">
        <f>IFERROR(VLOOKUP(C1024,Lookups!$A$3:$C$7,3,FALSE),"UNMAPPED")</f>
        <v/>
      </c>
    </row>
    <row r="1025">
      <c r="A1025" s="5" t="n">
        <v>46053</v>
      </c>
      <c r="B1025" t="inlineStr">
        <is>
          <t>CZ</t>
        </is>
      </c>
      <c r="C1025" t="inlineStr">
        <is>
          <t>CC_GOLD</t>
        </is>
      </c>
      <c r="D1025" t="inlineStr">
        <is>
          <t>30-59</t>
        </is>
      </c>
      <c r="E1025" t="n">
        <v>30</v>
      </c>
      <c r="F1025" t="n">
        <v>1</v>
      </c>
      <c r="G1025" t="n">
        <v>20042.89</v>
      </c>
      <c r="H1025">
        <f>IFERROR(VLOOKUP(C1025,Lookups!$A$3:$C$7,3,FALSE),"UNMAPPED")</f>
        <v/>
      </c>
    </row>
    <row r="1026">
      <c r="A1026" s="5" t="n">
        <v>46053</v>
      </c>
      <c r="B1026" t="inlineStr">
        <is>
          <t>CZ</t>
        </is>
      </c>
      <c r="C1026" t="inlineStr">
        <is>
          <t>CC_GOLD</t>
        </is>
      </c>
      <c r="D1026" t="inlineStr">
        <is>
          <t>90-179</t>
        </is>
      </c>
      <c r="E1026" t="n">
        <v>90</v>
      </c>
      <c r="F1026" t="n">
        <v>1</v>
      </c>
      <c r="G1026" t="n">
        <v>127626.89</v>
      </c>
      <c r="H1026">
        <f>IFERROR(VLOOKUP(C1026,Lookups!$A$3:$C$7,3,FALSE),"UNMAPPED")</f>
        <v/>
      </c>
    </row>
    <row r="1027">
      <c r="A1027" s="5" t="n">
        <v>46053</v>
      </c>
      <c r="B1027" t="inlineStr">
        <is>
          <t>CZ</t>
        </is>
      </c>
      <c r="C1027" t="inlineStr">
        <is>
          <t>PL_PREM</t>
        </is>
      </c>
      <c r="D1027" t="inlineStr">
        <is>
          <t>Current</t>
        </is>
      </c>
      <c r="E1027" t="n">
        <v>0</v>
      </c>
      <c r="F1027" t="n">
        <v>376</v>
      </c>
      <c r="G1027" t="n">
        <v>84505157.89</v>
      </c>
      <c r="H1027">
        <f>IFERROR(VLOOKUP(C1027,Lookups!$A$3:$C$7,3,FALSE),"UNMAPPED")</f>
        <v/>
      </c>
    </row>
    <row r="1028">
      <c r="A1028" s="5" t="n">
        <v>46053</v>
      </c>
      <c r="B1028" t="inlineStr">
        <is>
          <t>CZ</t>
        </is>
      </c>
      <c r="C1028" t="inlineStr">
        <is>
          <t>PL_PREM</t>
        </is>
      </c>
      <c r="D1028" t="inlineStr">
        <is>
          <t>1-29</t>
        </is>
      </c>
      <c r="E1028" t="n">
        <v>1</v>
      </c>
      <c r="F1028" t="n">
        <v>8</v>
      </c>
      <c r="G1028" t="n">
        <v>1913263.4</v>
      </c>
      <c r="H1028">
        <f>IFERROR(VLOOKUP(C1028,Lookups!$A$3:$C$7,3,FALSE),"UNMAPPED")</f>
        <v/>
      </c>
    </row>
    <row r="1029">
      <c r="A1029" s="5" t="n">
        <v>46053</v>
      </c>
      <c r="B1029" t="inlineStr">
        <is>
          <t>CZ</t>
        </is>
      </c>
      <c r="C1029" t="inlineStr">
        <is>
          <t>PL_PREM</t>
        </is>
      </c>
      <c r="D1029" t="inlineStr">
        <is>
          <t>30-59</t>
        </is>
      </c>
      <c r="E1029" t="n">
        <v>30</v>
      </c>
      <c r="F1029" t="n">
        <v>1</v>
      </c>
      <c r="G1029" t="n">
        <v>185853.91</v>
      </c>
      <c r="H1029">
        <f>IFERROR(VLOOKUP(C1029,Lookups!$A$3:$C$7,3,FALSE),"UNMAPPED")</f>
        <v/>
      </c>
    </row>
    <row r="1030">
      <c r="A1030" s="5" t="n">
        <v>46053</v>
      </c>
      <c r="B1030" t="inlineStr">
        <is>
          <t>CZ</t>
        </is>
      </c>
      <c r="C1030" t="inlineStr">
        <is>
          <t>PL_PREM</t>
        </is>
      </c>
      <c r="D1030" t="inlineStr">
        <is>
          <t>60-89</t>
        </is>
      </c>
      <c r="E1030" t="n">
        <v>60</v>
      </c>
      <c r="F1030" t="n">
        <v>2</v>
      </c>
      <c r="G1030" t="n">
        <v>175019.71</v>
      </c>
      <c r="H1030">
        <f>IFERROR(VLOOKUP(C1030,Lookups!$A$3:$C$7,3,FALSE),"UNMAPPED")</f>
        <v/>
      </c>
    </row>
    <row r="1031">
      <c r="A1031" s="5" t="n">
        <v>46053</v>
      </c>
      <c r="B1031" t="inlineStr">
        <is>
          <t>CZ</t>
        </is>
      </c>
      <c r="C1031" t="inlineStr">
        <is>
          <t>PL_PREM</t>
        </is>
      </c>
      <c r="D1031" t="inlineStr">
        <is>
          <t>90-179</t>
        </is>
      </c>
      <c r="E1031" t="n">
        <v>90</v>
      </c>
      <c r="F1031" t="n">
        <v>4</v>
      </c>
      <c r="G1031" t="n">
        <v>934303.73</v>
      </c>
      <c r="H1031">
        <f>IFERROR(VLOOKUP(C1031,Lookups!$A$3:$C$7,3,FALSE),"UNMAPPED")</f>
        <v/>
      </c>
    </row>
    <row r="1032">
      <c r="A1032" s="5" t="n">
        <v>46053</v>
      </c>
      <c r="B1032" t="inlineStr">
        <is>
          <t>CZ</t>
        </is>
      </c>
      <c r="C1032" t="inlineStr">
        <is>
          <t>PL_STD</t>
        </is>
      </c>
      <c r="D1032" t="inlineStr">
        <is>
          <t>Current</t>
        </is>
      </c>
      <c r="E1032" t="n">
        <v>0</v>
      </c>
      <c r="F1032" t="n">
        <v>891</v>
      </c>
      <c r="G1032" t="n">
        <v>58942583.19</v>
      </c>
      <c r="H1032">
        <f>IFERROR(VLOOKUP(C1032,Lookups!$A$3:$C$7,3,FALSE),"UNMAPPED")</f>
        <v/>
      </c>
    </row>
    <row r="1033">
      <c r="A1033" s="5" t="n">
        <v>46053</v>
      </c>
      <c r="B1033" t="inlineStr">
        <is>
          <t>CZ</t>
        </is>
      </c>
      <c r="C1033" t="inlineStr">
        <is>
          <t>PL_STD</t>
        </is>
      </c>
      <c r="D1033" t="inlineStr">
        <is>
          <t>1-29</t>
        </is>
      </c>
      <c r="E1033" t="n">
        <v>1</v>
      </c>
      <c r="F1033" t="n">
        <v>18</v>
      </c>
      <c r="G1033" t="n">
        <v>1649078.55</v>
      </c>
      <c r="H1033">
        <f>IFERROR(VLOOKUP(C1033,Lookups!$A$3:$C$7,3,FALSE),"UNMAPPED")</f>
        <v/>
      </c>
    </row>
    <row r="1034">
      <c r="A1034" s="5" t="n">
        <v>46053</v>
      </c>
      <c r="B1034" t="inlineStr">
        <is>
          <t>CZ</t>
        </is>
      </c>
      <c r="C1034" t="inlineStr">
        <is>
          <t>PL_STD</t>
        </is>
      </c>
      <c r="D1034" t="inlineStr">
        <is>
          <t>30-59</t>
        </is>
      </c>
      <c r="E1034" t="n">
        <v>30</v>
      </c>
      <c r="F1034" t="n">
        <v>8</v>
      </c>
      <c r="G1034" t="n">
        <v>648294.53</v>
      </c>
      <c r="H1034">
        <f>IFERROR(VLOOKUP(C1034,Lookups!$A$3:$C$7,3,FALSE),"UNMAPPED")</f>
        <v/>
      </c>
    </row>
    <row r="1035">
      <c r="A1035" s="5" t="n">
        <v>46053</v>
      </c>
      <c r="B1035" t="inlineStr">
        <is>
          <t>CZ</t>
        </is>
      </c>
      <c r="C1035" t="inlineStr">
        <is>
          <t>PL_STD</t>
        </is>
      </c>
      <c r="D1035" t="inlineStr">
        <is>
          <t>60-89</t>
        </is>
      </c>
      <c r="E1035" t="n">
        <v>60</v>
      </c>
      <c r="F1035" t="n">
        <v>8</v>
      </c>
      <c r="G1035" t="n">
        <v>624638.4300000001</v>
      </c>
      <c r="H1035">
        <f>IFERROR(VLOOKUP(C1035,Lookups!$A$3:$C$7,3,FALSE),"UNMAPPED")</f>
        <v/>
      </c>
    </row>
    <row r="1036">
      <c r="A1036" s="5" t="n">
        <v>46053</v>
      </c>
      <c r="B1036" t="inlineStr">
        <is>
          <t>CZ</t>
        </is>
      </c>
      <c r="C1036" t="inlineStr">
        <is>
          <t>PL_STD</t>
        </is>
      </c>
      <c r="D1036" t="inlineStr">
        <is>
          <t>90-179</t>
        </is>
      </c>
      <c r="E1036" t="n">
        <v>90</v>
      </c>
      <c r="F1036" t="n">
        <v>11</v>
      </c>
      <c r="G1036" t="n">
        <v>917650.27</v>
      </c>
      <c r="H1036">
        <f>IFERROR(VLOOKUP(C1036,Lookups!$A$3:$C$7,3,FALSE),"UNMAPPED")</f>
        <v/>
      </c>
    </row>
    <row r="1037">
      <c r="A1037" s="5" t="n">
        <v>46053</v>
      </c>
      <c r="B1037" t="inlineStr">
        <is>
          <t>PL</t>
        </is>
      </c>
      <c r="C1037" t="inlineStr">
        <is>
          <t>CC_CLASSIC</t>
        </is>
      </c>
      <c r="D1037" t="inlineStr">
        <is>
          <t>Current</t>
        </is>
      </c>
      <c r="E1037" t="n">
        <v>0</v>
      </c>
      <c r="F1037" t="n">
        <v>1847</v>
      </c>
      <c r="G1037" t="n">
        <v>5355834.51</v>
      </c>
      <c r="H1037">
        <f>IFERROR(VLOOKUP(C1037,Lookups!$A$3:$C$7,3,FALSE),"UNMAPPED")</f>
        <v/>
      </c>
    </row>
    <row r="1038">
      <c r="A1038" s="5" t="n">
        <v>46053</v>
      </c>
      <c r="B1038" t="inlineStr">
        <is>
          <t>PL</t>
        </is>
      </c>
      <c r="C1038" t="inlineStr">
        <is>
          <t>CC_CLASSIC</t>
        </is>
      </c>
      <c r="D1038" t="inlineStr">
        <is>
          <t>1-29</t>
        </is>
      </c>
      <c r="E1038" t="n">
        <v>1</v>
      </c>
      <c r="F1038" t="n">
        <v>25</v>
      </c>
      <c r="G1038" t="n">
        <v>106752.01</v>
      </c>
      <c r="H1038">
        <f>IFERROR(VLOOKUP(C1038,Lookups!$A$3:$C$7,3,FALSE),"UNMAPPED")</f>
        <v/>
      </c>
    </row>
    <row r="1039">
      <c r="A1039" s="5" t="n">
        <v>46053</v>
      </c>
      <c r="B1039" t="inlineStr">
        <is>
          <t>PL</t>
        </is>
      </c>
      <c r="C1039" t="inlineStr">
        <is>
          <t>CC_CLASSIC</t>
        </is>
      </c>
      <c r="D1039" t="inlineStr">
        <is>
          <t>30-59</t>
        </is>
      </c>
      <c r="E1039" t="n">
        <v>30</v>
      </c>
      <c r="F1039" t="n">
        <v>16</v>
      </c>
      <c r="G1039" t="n">
        <v>39676.69</v>
      </c>
      <c r="H1039">
        <f>IFERROR(VLOOKUP(C1039,Lookups!$A$3:$C$7,3,FALSE),"UNMAPPED")</f>
        <v/>
      </c>
    </row>
    <row r="1040">
      <c r="A1040" s="5" t="n">
        <v>46053</v>
      </c>
      <c r="B1040" t="inlineStr">
        <is>
          <t>PL</t>
        </is>
      </c>
      <c r="C1040" t="inlineStr">
        <is>
          <t>CC_CLASSIC</t>
        </is>
      </c>
      <c r="D1040" t="inlineStr">
        <is>
          <t>60-89</t>
        </is>
      </c>
      <c r="E1040" t="n">
        <v>60</v>
      </c>
      <c r="F1040" t="n">
        <v>14</v>
      </c>
      <c r="G1040" t="n">
        <v>56779.18</v>
      </c>
      <c r="H1040">
        <f>IFERROR(VLOOKUP(C1040,Lookups!$A$3:$C$7,3,FALSE),"UNMAPPED")</f>
        <v/>
      </c>
    </row>
    <row r="1041">
      <c r="A1041" s="5" t="n">
        <v>46053</v>
      </c>
      <c r="B1041" t="inlineStr">
        <is>
          <t>PL</t>
        </is>
      </c>
      <c r="C1041" t="inlineStr">
        <is>
          <t>CC_CLASSIC</t>
        </is>
      </c>
      <c r="D1041" t="inlineStr">
        <is>
          <t>90-179</t>
        </is>
      </c>
      <c r="E1041" t="n">
        <v>90</v>
      </c>
      <c r="F1041" t="n">
        <v>32</v>
      </c>
      <c r="G1041" t="n">
        <v>92314.39</v>
      </c>
      <c r="H1041">
        <f>IFERROR(VLOOKUP(C1041,Lookups!$A$3:$C$7,3,FALSE),"UNMAPPED")</f>
        <v/>
      </c>
    </row>
    <row r="1042">
      <c r="A1042" s="5" t="n">
        <v>46053</v>
      </c>
      <c r="B1042" t="inlineStr">
        <is>
          <t>PL</t>
        </is>
      </c>
      <c r="C1042" t="inlineStr">
        <is>
          <t>CC_CONSOL</t>
        </is>
      </c>
      <c r="D1042" t="inlineStr">
        <is>
          <t>Current</t>
        </is>
      </c>
      <c r="E1042" t="n">
        <v>0</v>
      </c>
      <c r="F1042" t="n">
        <v>163</v>
      </c>
      <c r="G1042" t="n">
        <v>4399142.09</v>
      </c>
      <c r="H1042">
        <f>IFERROR(VLOOKUP(C1042,Lookups!$A$3:$C$7,3,FALSE),"UNMAPPED")</f>
        <v/>
      </c>
    </row>
    <row r="1043">
      <c r="A1043" s="5" t="n">
        <v>46053</v>
      </c>
      <c r="B1043" t="inlineStr">
        <is>
          <t>PL</t>
        </is>
      </c>
      <c r="C1043" t="inlineStr">
        <is>
          <t>CC_CONSOL</t>
        </is>
      </c>
      <c r="D1043" t="inlineStr">
        <is>
          <t>30-59</t>
        </is>
      </c>
      <c r="E1043" t="n">
        <v>30</v>
      </c>
      <c r="F1043" t="n">
        <v>3</v>
      </c>
      <c r="G1043" t="n">
        <v>119750.84</v>
      </c>
      <c r="H1043">
        <f>IFERROR(VLOOKUP(C1043,Lookups!$A$3:$C$7,3,FALSE),"UNMAPPED")</f>
        <v/>
      </c>
    </row>
    <row r="1044">
      <c r="A1044" s="5" t="n">
        <v>46053</v>
      </c>
      <c r="B1044" t="inlineStr">
        <is>
          <t>PL</t>
        </is>
      </c>
      <c r="C1044" t="inlineStr">
        <is>
          <t>CC_CONSOL</t>
        </is>
      </c>
      <c r="D1044" t="inlineStr">
        <is>
          <t>60-89</t>
        </is>
      </c>
      <c r="E1044" t="n">
        <v>60</v>
      </c>
      <c r="F1044" t="n">
        <v>2</v>
      </c>
      <c r="G1044" t="n">
        <v>41871.13</v>
      </c>
      <c r="H1044">
        <f>IFERROR(VLOOKUP(C1044,Lookups!$A$3:$C$7,3,FALSE),"UNMAPPED")</f>
        <v/>
      </c>
    </row>
    <row r="1045">
      <c r="A1045" s="5" t="n">
        <v>46053</v>
      </c>
      <c r="B1045" t="inlineStr">
        <is>
          <t>PL</t>
        </is>
      </c>
      <c r="C1045" t="inlineStr">
        <is>
          <t>CC_CONSOL</t>
        </is>
      </c>
      <c r="D1045" t="inlineStr">
        <is>
          <t>90-179</t>
        </is>
      </c>
      <c r="E1045" t="n">
        <v>90</v>
      </c>
      <c r="F1045" t="n">
        <v>5</v>
      </c>
      <c r="G1045" t="n">
        <v>116418.14</v>
      </c>
      <c r="H1045">
        <f>IFERROR(VLOOKUP(C1045,Lookups!$A$3:$C$7,3,FALSE),"UNMAPPED")</f>
        <v/>
      </c>
    </row>
    <row r="1046">
      <c r="A1046" s="5" t="n">
        <v>46053</v>
      </c>
      <c r="B1046" t="inlineStr">
        <is>
          <t>PL</t>
        </is>
      </c>
      <c r="C1046" t="inlineStr">
        <is>
          <t>CC_GOLD</t>
        </is>
      </c>
      <c r="D1046" t="inlineStr">
        <is>
          <t>Current</t>
        </is>
      </c>
      <c r="E1046" t="n">
        <v>0</v>
      </c>
      <c r="F1046" t="n">
        <v>535</v>
      </c>
      <c r="G1046" t="n">
        <v>5475974.74</v>
      </c>
      <c r="H1046">
        <f>IFERROR(VLOOKUP(C1046,Lookups!$A$3:$C$7,3,FALSE),"UNMAPPED")</f>
        <v/>
      </c>
    </row>
    <row r="1047">
      <c r="A1047" s="5" t="n">
        <v>46053</v>
      </c>
      <c r="B1047" t="inlineStr">
        <is>
          <t>PL</t>
        </is>
      </c>
      <c r="C1047" t="inlineStr">
        <is>
          <t>CC_GOLD</t>
        </is>
      </c>
      <c r="D1047" t="inlineStr">
        <is>
          <t>1-29</t>
        </is>
      </c>
      <c r="E1047" t="n">
        <v>1</v>
      </c>
      <c r="F1047" t="n">
        <v>6</v>
      </c>
      <c r="G1047" t="n">
        <v>59809.97</v>
      </c>
      <c r="H1047">
        <f>IFERROR(VLOOKUP(C1047,Lookups!$A$3:$C$7,3,FALSE),"UNMAPPED")</f>
        <v/>
      </c>
    </row>
    <row r="1048">
      <c r="A1048" s="5" t="n">
        <v>46053</v>
      </c>
      <c r="B1048" t="inlineStr">
        <is>
          <t>PL</t>
        </is>
      </c>
      <c r="C1048" t="inlineStr">
        <is>
          <t>CC_GOLD</t>
        </is>
      </c>
      <c r="D1048" t="inlineStr">
        <is>
          <t>30-59</t>
        </is>
      </c>
      <c r="E1048" t="n">
        <v>30</v>
      </c>
      <c r="F1048" t="n">
        <v>3</v>
      </c>
      <c r="G1048" t="n">
        <v>24159.48</v>
      </c>
      <c r="H1048">
        <f>IFERROR(VLOOKUP(C1048,Lookups!$A$3:$C$7,3,FALSE),"UNMAPPED")</f>
        <v/>
      </c>
    </row>
    <row r="1049">
      <c r="A1049" s="5" t="n">
        <v>46053</v>
      </c>
      <c r="B1049" t="inlineStr">
        <is>
          <t>PL</t>
        </is>
      </c>
      <c r="C1049" t="inlineStr">
        <is>
          <t>CC_GOLD</t>
        </is>
      </c>
      <c r="D1049" t="inlineStr">
        <is>
          <t>60-89</t>
        </is>
      </c>
      <c r="E1049" t="n">
        <v>60</v>
      </c>
      <c r="F1049" t="n">
        <v>5</v>
      </c>
      <c r="G1049" t="n">
        <v>95189.25</v>
      </c>
      <c r="H1049">
        <f>IFERROR(VLOOKUP(C1049,Lookups!$A$3:$C$7,3,FALSE),"UNMAPPED")</f>
        <v/>
      </c>
    </row>
    <row r="1050">
      <c r="A1050" s="5" t="n">
        <v>46053</v>
      </c>
      <c r="B1050" t="inlineStr">
        <is>
          <t>PL</t>
        </is>
      </c>
      <c r="C1050" t="inlineStr">
        <is>
          <t>CC_GOLD</t>
        </is>
      </c>
      <c r="D1050" t="inlineStr">
        <is>
          <t>90-179</t>
        </is>
      </c>
      <c r="E1050" t="n">
        <v>90</v>
      </c>
      <c r="F1050" t="n">
        <v>12</v>
      </c>
      <c r="G1050" t="n">
        <v>149410.29</v>
      </c>
      <c r="H1050">
        <f>IFERROR(VLOOKUP(C1050,Lookups!$A$3:$C$7,3,FALSE),"UNMAPPED")</f>
        <v/>
      </c>
    </row>
    <row r="1051">
      <c r="A1051" s="5" t="n">
        <v>46053</v>
      </c>
      <c r="B1051" t="inlineStr">
        <is>
          <t>PL</t>
        </is>
      </c>
      <c r="C1051" t="inlineStr">
        <is>
          <t>PL_PREM</t>
        </is>
      </c>
      <c r="D1051" t="inlineStr">
        <is>
          <t>Current</t>
        </is>
      </c>
      <c r="E1051" t="n">
        <v>0</v>
      </c>
      <c r="F1051" t="n">
        <v>563</v>
      </c>
      <c r="G1051" t="n">
        <v>21806752.47</v>
      </c>
      <c r="H1051">
        <f>IFERROR(VLOOKUP(C1051,Lookups!$A$3:$C$7,3,FALSE),"UNMAPPED")</f>
        <v/>
      </c>
    </row>
    <row r="1052">
      <c r="A1052" s="5" t="n">
        <v>46053</v>
      </c>
      <c r="B1052" t="inlineStr">
        <is>
          <t>PL</t>
        </is>
      </c>
      <c r="C1052" t="inlineStr">
        <is>
          <t>PL_PREM</t>
        </is>
      </c>
      <c r="D1052" t="inlineStr">
        <is>
          <t>1-29</t>
        </is>
      </c>
      <c r="E1052" t="n">
        <v>1</v>
      </c>
      <c r="F1052" t="n">
        <v>13</v>
      </c>
      <c r="G1052" t="n">
        <v>491065.22</v>
      </c>
      <c r="H1052">
        <f>IFERROR(VLOOKUP(C1052,Lookups!$A$3:$C$7,3,FALSE),"UNMAPPED")</f>
        <v/>
      </c>
    </row>
    <row r="1053">
      <c r="A1053" s="5" t="n">
        <v>46053</v>
      </c>
      <c r="B1053" t="inlineStr">
        <is>
          <t>PL</t>
        </is>
      </c>
      <c r="C1053" t="inlineStr">
        <is>
          <t>PL_PREM</t>
        </is>
      </c>
      <c r="D1053" t="inlineStr">
        <is>
          <t>30-59</t>
        </is>
      </c>
      <c r="E1053" t="n">
        <v>30</v>
      </c>
      <c r="F1053" t="n">
        <v>7</v>
      </c>
      <c r="G1053" t="n">
        <v>348618.98</v>
      </c>
      <c r="H1053">
        <f>IFERROR(VLOOKUP(C1053,Lookups!$A$3:$C$7,3,FALSE),"UNMAPPED")</f>
        <v/>
      </c>
    </row>
    <row r="1054">
      <c r="A1054" s="5" t="n">
        <v>46053</v>
      </c>
      <c r="B1054" t="inlineStr">
        <is>
          <t>PL</t>
        </is>
      </c>
      <c r="C1054" t="inlineStr">
        <is>
          <t>PL_PREM</t>
        </is>
      </c>
      <c r="D1054" t="inlineStr">
        <is>
          <t>60-89</t>
        </is>
      </c>
      <c r="E1054" t="n">
        <v>60</v>
      </c>
      <c r="F1054" t="n">
        <v>7</v>
      </c>
      <c r="G1054" t="n">
        <v>263389.87</v>
      </c>
      <c r="H1054">
        <f>IFERROR(VLOOKUP(C1054,Lookups!$A$3:$C$7,3,FALSE),"UNMAPPED")</f>
        <v/>
      </c>
    </row>
    <row r="1055">
      <c r="A1055" s="5" t="n">
        <v>46053</v>
      </c>
      <c r="B1055" t="inlineStr">
        <is>
          <t>PL</t>
        </is>
      </c>
      <c r="C1055" t="inlineStr">
        <is>
          <t>PL_PREM</t>
        </is>
      </c>
      <c r="D1055" t="inlineStr">
        <is>
          <t>90-179</t>
        </is>
      </c>
      <c r="E1055" t="n">
        <v>90</v>
      </c>
      <c r="F1055" t="n">
        <v>5</v>
      </c>
      <c r="G1055" t="n">
        <v>260825.47</v>
      </c>
      <c r="H1055">
        <f>IFERROR(VLOOKUP(C1055,Lookups!$A$3:$C$7,3,FALSE),"UNMAPPED")</f>
        <v/>
      </c>
    </row>
    <row r="1056">
      <c r="A1056" s="5" t="n">
        <v>46053</v>
      </c>
      <c r="B1056" t="inlineStr">
        <is>
          <t>PL</t>
        </is>
      </c>
      <c r="C1056" t="inlineStr">
        <is>
          <t>PL_STD</t>
        </is>
      </c>
      <c r="D1056" t="inlineStr">
        <is>
          <t>Current</t>
        </is>
      </c>
      <c r="E1056" t="n">
        <v>0</v>
      </c>
      <c r="F1056" t="n">
        <v>1169</v>
      </c>
      <c r="G1056" t="n">
        <v>13166359.7</v>
      </c>
      <c r="H1056">
        <f>IFERROR(VLOOKUP(C1056,Lookups!$A$3:$C$7,3,FALSE),"UNMAPPED")</f>
        <v/>
      </c>
    </row>
    <row r="1057">
      <c r="A1057" s="5" t="n">
        <v>46053</v>
      </c>
      <c r="B1057" t="inlineStr">
        <is>
          <t>PL</t>
        </is>
      </c>
      <c r="C1057" t="inlineStr">
        <is>
          <t>PL_STD</t>
        </is>
      </c>
      <c r="D1057" t="inlineStr">
        <is>
          <t>1-29</t>
        </is>
      </c>
      <c r="E1057" t="n">
        <v>1</v>
      </c>
      <c r="F1057" t="n">
        <v>31</v>
      </c>
      <c r="G1057" t="n">
        <v>417390.27</v>
      </c>
      <c r="H1057">
        <f>IFERROR(VLOOKUP(C1057,Lookups!$A$3:$C$7,3,FALSE),"UNMAPPED")</f>
        <v/>
      </c>
    </row>
    <row r="1058">
      <c r="A1058" s="5" t="n">
        <v>46053</v>
      </c>
      <c r="B1058" t="inlineStr">
        <is>
          <t>PL</t>
        </is>
      </c>
      <c r="C1058" t="inlineStr">
        <is>
          <t>PL_STD</t>
        </is>
      </c>
      <c r="D1058" t="inlineStr">
        <is>
          <t>30-59</t>
        </is>
      </c>
      <c r="E1058" t="n">
        <v>30</v>
      </c>
      <c r="F1058" t="n">
        <v>16</v>
      </c>
      <c r="G1058" t="n">
        <v>174067.62</v>
      </c>
      <c r="H1058">
        <f>IFERROR(VLOOKUP(C1058,Lookups!$A$3:$C$7,3,FALSE),"UNMAPPED")</f>
        <v/>
      </c>
    </row>
    <row r="1059">
      <c r="A1059" s="5" t="n">
        <v>46053</v>
      </c>
      <c r="B1059" t="inlineStr">
        <is>
          <t>PL</t>
        </is>
      </c>
      <c r="C1059" t="inlineStr">
        <is>
          <t>PL_STD</t>
        </is>
      </c>
      <c r="D1059" t="inlineStr">
        <is>
          <t>60-89</t>
        </is>
      </c>
      <c r="E1059" t="n">
        <v>60</v>
      </c>
      <c r="F1059" t="n">
        <v>11</v>
      </c>
      <c r="G1059" t="n">
        <v>140316.17</v>
      </c>
      <c r="H1059">
        <f>IFERROR(VLOOKUP(C1059,Lookups!$A$3:$C$7,3,FALSE),"UNMAPPED")</f>
        <v/>
      </c>
    </row>
    <row r="1060">
      <c r="A1060" s="5" t="n">
        <v>46053</v>
      </c>
      <c r="B1060" t="inlineStr">
        <is>
          <t>PL</t>
        </is>
      </c>
      <c r="C1060" t="inlineStr">
        <is>
          <t>PL_STD</t>
        </is>
      </c>
      <c r="D1060" t="inlineStr">
        <is>
          <t>90-179</t>
        </is>
      </c>
      <c r="E1060" t="n">
        <v>90</v>
      </c>
      <c r="F1060" t="n">
        <v>20</v>
      </c>
      <c r="G1060" t="n">
        <v>267784.36</v>
      </c>
      <c r="H1060">
        <f>IFERROR(VLOOKUP(C1060,Lookups!$A$3:$C$7,3,FALSE),"UNMAPPED")</f>
        <v/>
      </c>
    </row>
    <row r="1061">
      <c r="A1061" s="5" t="n">
        <v>46053</v>
      </c>
      <c r="B1061" t="inlineStr">
        <is>
          <t>RO</t>
        </is>
      </c>
      <c r="C1061" t="inlineStr">
        <is>
          <t>CC_CLASSIC</t>
        </is>
      </c>
      <c r="D1061" t="inlineStr">
        <is>
          <t>Current</t>
        </is>
      </c>
      <c r="E1061" t="n">
        <v>0</v>
      </c>
      <c r="F1061" t="n">
        <v>1046</v>
      </c>
      <c r="G1061" t="n">
        <v>3576833.84</v>
      </c>
      <c r="H1061">
        <f>IFERROR(VLOOKUP(C1061,Lookups!$A$3:$C$7,3,FALSE),"UNMAPPED")</f>
        <v/>
      </c>
    </row>
    <row r="1062">
      <c r="A1062" s="5" t="n">
        <v>46053</v>
      </c>
      <c r="B1062" t="inlineStr">
        <is>
          <t>RO</t>
        </is>
      </c>
      <c r="C1062" t="inlineStr">
        <is>
          <t>CC_CLASSIC</t>
        </is>
      </c>
      <c r="D1062" t="inlineStr">
        <is>
          <t>1-29</t>
        </is>
      </c>
      <c r="E1062" t="n">
        <v>1</v>
      </c>
      <c r="F1062" t="n">
        <v>22</v>
      </c>
      <c r="G1062" t="n">
        <v>89739.56</v>
      </c>
      <c r="H1062">
        <f>IFERROR(VLOOKUP(C1062,Lookups!$A$3:$C$7,3,FALSE),"UNMAPPED")</f>
        <v/>
      </c>
    </row>
    <row r="1063">
      <c r="A1063" s="5" t="n">
        <v>46053</v>
      </c>
      <c r="B1063" t="inlineStr">
        <is>
          <t>RO</t>
        </is>
      </c>
      <c r="C1063" t="inlineStr">
        <is>
          <t>CC_CLASSIC</t>
        </is>
      </c>
      <c r="D1063" t="inlineStr">
        <is>
          <t>30-59</t>
        </is>
      </c>
      <c r="E1063" t="n">
        <v>30</v>
      </c>
      <c r="F1063" t="n">
        <v>9</v>
      </c>
      <c r="G1063" t="n">
        <v>30120.74</v>
      </c>
      <c r="H1063">
        <f>IFERROR(VLOOKUP(C1063,Lookups!$A$3:$C$7,3,FALSE),"UNMAPPED")</f>
        <v/>
      </c>
    </row>
    <row r="1064">
      <c r="A1064" s="5" t="n">
        <v>46053</v>
      </c>
      <c r="B1064" t="inlineStr">
        <is>
          <t>RO</t>
        </is>
      </c>
      <c r="C1064" t="inlineStr">
        <is>
          <t>CC_CLASSIC</t>
        </is>
      </c>
      <c r="D1064" t="inlineStr">
        <is>
          <t>60-89</t>
        </is>
      </c>
      <c r="E1064" t="n">
        <v>60</v>
      </c>
      <c r="F1064" t="n">
        <v>7</v>
      </c>
      <c r="G1064" t="n">
        <v>23923.67</v>
      </c>
      <c r="H1064">
        <f>IFERROR(VLOOKUP(C1064,Lookups!$A$3:$C$7,3,FALSE),"UNMAPPED")</f>
        <v/>
      </c>
    </row>
    <row r="1065">
      <c r="A1065" s="5" t="n">
        <v>46053</v>
      </c>
      <c r="B1065" t="inlineStr">
        <is>
          <t>RO</t>
        </is>
      </c>
      <c r="C1065" t="inlineStr">
        <is>
          <t>CC_CLASSIC</t>
        </is>
      </c>
      <c r="D1065" t="inlineStr">
        <is>
          <t>90-179</t>
        </is>
      </c>
      <c r="E1065" t="n">
        <v>90</v>
      </c>
      <c r="F1065" t="n">
        <v>19</v>
      </c>
      <c r="G1065" t="n">
        <v>78368.72</v>
      </c>
      <c r="H1065">
        <f>IFERROR(VLOOKUP(C1065,Lookups!$A$3:$C$7,3,FALSE),"UNMAPPED")</f>
        <v/>
      </c>
    </row>
    <row r="1066">
      <c r="A1066" s="5" t="n">
        <v>46053</v>
      </c>
      <c r="B1066" t="inlineStr">
        <is>
          <t>RO</t>
        </is>
      </c>
      <c r="C1066" t="inlineStr">
        <is>
          <t>CC_CONSOL</t>
        </is>
      </c>
      <c r="D1066" t="inlineStr">
        <is>
          <t>Current</t>
        </is>
      </c>
      <c r="E1066" t="n">
        <v>0</v>
      </c>
      <c r="F1066" t="n">
        <v>89</v>
      </c>
      <c r="G1066" t="n">
        <v>2769526.7</v>
      </c>
      <c r="H1066">
        <f>IFERROR(VLOOKUP(C1066,Lookups!$A$3:$C$7,3,FALSE),"UNMAPPED")</f>
        <v/>
      </c>
    </row>
    <row r="1067">
      <c r="A1067" s="5" t="n">
        <v>46053</v>
      </c>
      <c r="B1067" t="inlineStr">
        <is>
          <t>RO</t>
        </is>
      </c>
      <c r="C1067" t="inlineStr">
        <is>
          <t>CC_CONSOL</t>
        </is>
      </c>
      <c r="D1067" t="inlineStr">
        <is>
          <t>1-29</t>
        </is>
      </c>
      <c r="E1067" t="n">
        <v>1</v>
      </c>
      <c r="F1067" t="n">
        <v>2</v>
      </c>
      <c r="G1067" t="n">
        <v>54214.29</v>
      </c>
      <c r="H1067">
        <f>IFERROR(VLOOKUP(C1067,Lookups!$A$3:$C$7,3,FALSE),"UNMAPPED")</f>
        <v/>
      </c>
    </row>
    <row r="1068">
      <c r="A1068" s="5" t="n">
        <v>46053</v>
      </c>
      <c r="B1068" t="inlineStr">
        <is>
          <t>RO</t>
        </is>
      </c>
      <c r="C1068" t="inlineStr">
        <is>
          <t>CC_CONSOL</t>
        </is>
      </c>
      <c r="D1068" t="inlineStr">
        <is>
          <t>30-59</t>
        </is>
      </c>
      <c r="E1068" t="n">
        <v>30</v>
      </c>
      <c r="F1068" t="n">
        <v>1</v>
      </c>
      <c r="G1068" t="n">
        <v>48218.53</v>
      </c>
      <c r="H1068">
        <f>IFERROR(VLOOKUP(C1068,Lookups!$A$3:$C$7,3,FALSE),"UNMAPPED")</f>
        <v/>
      </c>
    </row>
    <row r="1069">
      <c r="A1069" s="5" t="n">
        <v>46053</v>
      </c>
      <c r="B1069" t="inlineStr">
        <is>
          <t>RO</t>
        </is>
      </c>
      <c r="C1069" t="inlineStr">
        <is>
          <t>CC_CONSOL</t>
        </is>
      </c>
      <c r="D1069" t="inlineStr">
        <is>
          <t>90-179</t>
        </is>
      </c>
      <c r="E1069" t="n">
        <v>90</v>
      </c>
      <c r="F1069" t="n">
        <v>4</v>
      </c>
      <c r="G1069" t="n">
        <v>134729.01</v>
      </c>
      <c r="H1069">
        <f>IFERROR(VLOOKUP(C1069,Lookups!$A$3:$C$7,3,FALSE),"UNMAPPED")</f>
        <v/>
      </c>
    </row>
    <row r="1070">
      <c r="A1070" s="5" t="n">
        <v>46053</v>
      </c>
      <c r="B1070" t="inlineStr">
        <is>
          <t>RO</t>
        </is>
      </c>
      <c r="C1070" t="inlineStr">
        <is>
          <t>CC_GOLD</t>
        </is>
      </c>
      <c r="D1070" t="inlineStr">
        <is>
          <t>Current</t>
        </is>
      </c>
      <c r="E1070" t="n">
        <v>0</v>
      </c>
      <c r="F1070" t="n">
        <v>294</v>
      </c>
      <c r="G1070" t="n">
        <v>3193917.85</v>
      </c>
      <c r="H1070">
        <f>IFERROR(VLOOKUP(C1070,Lookups!$A$3:$C$7,3,FALSE),"UNMAPPED")</f>
        <v/>
      </c>
    </row>
    <row r="1071">
      <c r="A1071" s="5" t="n">
        <v>46053</v>
      </c>
      <c r="B1071" t="inlineStr">
        <is>
          <t>RO</t>
        </is>
      </c>
      <c r="C1071" t="inlineStr">
        <is>
          <t>CC_GOLD</t>
        </is>
      </c>
      <c r="D1071" t="inlineStr">
        <is>
          <t>1-29</t>
        </is>
      </c>
      <c r="E1071" t="n">
        <v>1</v>
      </c>
      <c r="F1071" t="n">
        <v>4</v>
      </c>
      <c r="G1071" t="n">
        <v>102582.7</v>
      </c>
      <c r="H1071">
        <f>IFERROR(VLOOKUP(C1071,Lookups!$A$3:$C$7,3,FALSE),"UNMAPPED")</f>
        <v/>
      </c>
    </row>
    <row r="1072">
      <c r="A1072" s="5" t="n">
        <v>46053</v>
      </c>
      <c r="B1072" t="inlineStr">
        <is>
          <t>RO</t>
        </is>
      </c>
      <c r="C1072" t="inlineStr">
        <is>
          <t>CC_GOLD</t>
        </is>
      </c>
      <c r="D1072" t="inlineStr">
        <is>
          <t>30-59</t>
        </is>
      </c>
      <c r="E1072" t="n">
        <v>30</v>
      </c>
      <c r="F1072" t="n">
        <v>3</v>
      </c>
      <c r="G1072" t="n">
        <v>29457.79</v>
      </c>
      <c r="H1072">
        <f>IFERROR(VLOOKUP(C1072,Lookups!$A$3:$C$7,3,FALSE),"UNMAPPED")</f>
        <v/>
      </c>
    </row>
    <row r="1073">
      <c r="A1073" s="5" t="n">
        <v>46053</v>
      </c>
      <c r="B1073" t="inlineStr">
        <is>
          <t>RO</t>
        </is>
      </c>
      <c r="C1073" t="inlineStr">
        <is>
          <t>CC_GOLD</t>
        </is>
      </c>
      <c r="D1073" t="inlineStr">
        <is>
          <t>60-89</t>
        </is>
      </c>
      <c r="E1073" t="n">
        <v>60</v>
      </c>
      <c r="F1073" t="n">
        <v>2</v>
      </c>
      <c r="G1073" t="n">
        <v>23912.49</v>
      </c>
      <c r="H1073">
        <f>IFERROR(VLOOKUP(C1073,Lookups!$A$3:$C$7,3,FALSE),"UNMAPPED")</f>
        <v/>
      </c>
    </row>
    <row r="1074">
      <c r="A1074" s="5" t="n">
        <v>46053</v>
      </c>
      <c r="B1074" t="inlineStr">
        <is>
          <t>RO</t>
        </is>
      </c>
      <c r="C1074" t="inlineStr">
        <is>
          <t>CC_GOLD</t>
        </is>
      </c>
      <c r="D1074" t="inlineStr">
        <is>
          <t>90-179</t>
        </is>
      </c>
      <c r="E1074" t="n">
        <v>90</v>
      </c>
      <c r="F1074" t="n">
        <v>9</v>
      </c>
      <c r="G1074" t="n">
        <v>135797.96</v>
      </c>
      <c r="H1074">
        <f>IFERROR(VLOOKUP(C1074,Lookups!$A$3:$C$7,3,FALSE),"UNMAPPED")</f>
        <v/>
      </c>
    </row>
    <row r="1075">
      <c r="A1075" s="5" t="n">
        <v>46053</v>
      </c>
      <c r="B1075" t="inlineStr">
        <is>
          <t>RO</t>
        </is>
      </c>
      <c r="C1075" t="inlineStr">
        <is>
          <t>PL_PREM</t>
        </is>
      </c>
      <c r="D1075" t="inlineStr">
        <is>
          <t>Current</t>
        </is>
      </c>
      <c r="E1075" t="n">
        <v>0</v>
      </c>
      <c r="F1075" t="n">
        <v>335</v>
      </c>
      <c r="G1075" t="n">
        <v>14969359.34</v>
      </c>
      <c r="H1075">
        <f>IFERROR(VLOOKUP(C1075,Lookups!$A$3:$C$7,3,FALSE),"UNMAPPED")</f>
        <v/>
      </c>
    </row>
    <row r="1076">
      <c r="A1076" s="5" t="n">
        <v>46053</v>
      </c>
      <c r="B1076" t="inlineStr">
        <is>
          <t>RO</t>
        </is>
      </c>
      <c r="C1076" t="inlineStr">
        <is>
          <t>PL_PREM</t>
        </is>
      </c>
      <c r="D1076" t="inlineStr">
        <is>
          <t>1-29</t>
        </is>
      </c>
      <c r="E1076" t="n">
        <v>1</v>
      </c>
      <c r="F1076" t="n">
        <v>4</v>
      </c>
      <c r="G1076" t="n">
        <v>206234.55</v>
      </c>
      <c r="H1076">
        <f>IFERROR(VLOOKUP(C1076,Lookups!$A$3:$C$7,3,FALSE),"UNMAPPED")</f>
        <v/>
      </c>
    </row>
    <row r="1077">
      <c r="A1077" s="5" t="n">
        <v>46053</v>
      </c>
      <c r="B1077" t="inlineStr">
        <is>
          <t>RO</t>
        </is>
      </c>
      <c r="C1077" t="inlineStr">
        <is>
          <t>PL_PREM</t>
        </is>
      </c>
      <c r="D1077" t="inlineStr">
        <is>
          <t>30-59</t>
        </is>
      </c>
      <c r="E1077" t="n">
        <v>30</v>
      </c>
      <c r="F1077" t="n">
        <v>4</v>
      </c>
      <c r="G1077" t="n">
        <v>194586.76</v>
      </c>
      <c r="H1077">
        <f>IFERROR(VLOOKUP(C1077,Lookups!$A$3:$C$7,3,FALSE),"UNMAPPED")</f>
        <v/>
      </c>
    </row>
    <row r="1078">
      <c r="A1078" s="5" t="n">
        <v>46053</v>
      </c>
      <c r="B1078" t="inlineStr">
        <is>
          <t>RO</t>
        </is>
      </c>
      <c r="C1078" t="inlineStr">
        <is>
          <t>PL_PREM</t>
        </is>
      </c>
      <c r="D1078" t="inlineStr">
        <is>
          <t>60-89</t>
        </is>
      </c>
      <c r="E1078" t="n">
        <v>60</v>
      </c>
      <c r="F1078" t="n">
        <v>2</v>
      </c>
      <c r="G1078" t="n">
        <v>149951.34</v>
      </c>
      <c r="H1078">
        <f>IFERROR(VLOOKUP(C1078,Lookups!$A$3:$C$7,3,FALSE),"UNMAPPED")</f>
        <v/>
      </c>
    </row>
    <row r="1079">
      <c r="A1079" s="5" t="n">
        <v>46053</v>
      </c>
      <c r="B1079" t="inlineStr">
        <is>
          <t>RO</t>
        </is>
      </c>
      <c r="C1079" t="inlineStr">
        <is>
          <t>PL_PREM</t>
        </is>
      </c>
      <c r="D1079" t="inlineStr">
        <is>
          <t>90-179</t>
        </is>
      </c>
      <c r="E1079" t="n">
        <v>90</v>
      </c>
      <c r="F1079" t="n">
        <v>4</v>
      </c>
      <c r="G1079" t="n">
        <v>191867.02</v>
      </c>
      <c r="H1079">
        <f>IFERROR(VLOOKUP(C1079,Lookups!$A$3:$C$7,3,FALSE),"UNMAPPED")</f>
        <v/>
      </c>
    </row>
    <row r="1080">
      <c r="A1080" s="5" t="n">
        <v>46053</v>
      </c>
      <c r="B1080" t="inlineStr">
        <is>
          <t>RO</t>
        </is>
      </c>
      <c r="C1080" t="inlineStr">
        <is>
          <t>PL_STD</t>
        </is>
      </c>
      <c r="D1080" t="inlineStr">
        <is>
          <t>Current</t>
        </is>
      </c>
      <c r="E1080" t="n">
        <v>0</v>
      </c>
      <c r="F1080" t="n">
        <v>787</v>
      </c>
      <c r="G1080" t="n">
        <v>11401773.32</v>
      </c>
      <c r="H1080">
        <f>IFERROR(VLOOKUP(C1080,Lookups!$A$3:$C$7,3,FALSE),"UNMAPPED")</f>
        <v/>
      </c>
    </row>
    <row r="1081">
      <c r="A1081" s="5" t="n">
        <v>46053</v>
      </c>
      <c r="B1081" t="inlineStr">
        <is>
          <t>RO</t>
        </is>
      </c>
      <c r="C1081" t="inlineStr">
        <is>
          <t>PL_STD</t>
        </is>
      </c>
      <c r="D1081" t="inlineStr">
        <is>
          <t>1-29</t>
        </is>
      </c>
      <c r="E1081" t="n">
        <v>1</v>
      </c>
      <c r="F1081" t="n">
        <v>23</v>
      </c>
      <c r="G1081" t="n">
        <v>313326.97</v>
      </c>
      <c r="H1081">
        <f>IFERROR(VLOOKUP(C1081,Lookups!$A$3:$C$7,3,FALSE),"UNMAPPED")</f>
        <v/>
      </c>
    </row>
    <row r="1082">
      <c r="A1082" s="5" t="n">
        <v>46053</v>
      </c>
      <c r="B1082" t="inlineStr">
        <is>
          <t>RO</t>
        </is>
      </c>
      <c r="C1082" t="inlineStr">
        <is>
          <t>PL_STD</t>
        </is>
      </c>
      <c r="D1082" t="inlineStr">
        <is>
          <t>30-59</t>
        </is>
      </c>
      <c r="E1082" t="n">
        <v>30</v>
      </c>
      <c r="F1082" t="n">
        <v>13</v>
      </c>
      <c r="G1082" t="n">
        <v>228893.11</v>
      </c>
      <c r="H1082">
        <f>IFERROR(VLOOKUP(C1082,Lookups!$A$3:$C$7,3,FALSE),"UNMAPPED")</f>
        <v/>
      </c>
    </row>
    <row r="1083">
      <c r="A1083" s="5" t="n">
        <v>46053</v>
      </c>
      <c r="B1083" t="inlineStr">
        <is>
          <t>RO</t>
        </is>
      </c>
      <c r="C1083" t="inlineStr">
        <is>
          <t>PL_STD</t>
        </is>
      </c>
      <c r="D1083" t="inlineStr">
        <is>
          <t>60-89</t>
        </is>
      </c>
      <c r="E1083" t="n">
        <v>60</v>
      </c>
      <c r="F1083" t="n">
        <v>6</v>
      </c>
      <c r="G1083" t="n">
        <v>141584.67</v>
      </c>
      <c r="H1083">
        <f>IFERROR(VLOOKUP(C1083,Lookups!$A$3:$C$7,3,FALSE),"UNMAPPED")</f>
        <v/>
      </c>
    </row>
    <row r="1084">
      <c r="A1084" s="5" t="n">
        <v>46053</v>
      </c>
      <c r="B1084" t="inlineStr">
        <is>
          <t>RO</t>
        </is>
      </c>
      <c r="C1084" t="inlineStr">
        <is>
          <t>PL_STD</t>
        </is>
      </c>
      <c r="D1084" t="inlineStr">
        <is>
          <t>90-179</t>
        </is>
      </c>
      <c r="E1084" t="n">
        <v>90</v>
      </c>
      <c r="F1084" t="n">
        <v>13</v>
      </c>
      <c r="G1084" t="n">
        <v>208007.77</v>
      </c>
      <c r="H1084">
        <f>IFERROR(VLOOKUP(C1084,Lookups!$A$3:$C$7,3,FALSE),"UNMAPPED")</f>
        <v/>
      </c>
    </row>
    <row r="1085">
      <c r="A1085" s="5" t="n">
        <v>46081</v>
      </c>
      <c r="B1085" t="inlineStr">
        <is>
          <t>CZ</t>
        </is>
      </c>
      <c r="C1085" t="inlineStr">
        <is>
          <t>CC_CLASSIC</t>
        </is>
      </c>
      <c r="D1085" t="inlineStr">
        <is>
          <t>Current</t>
        </is>
      </c>
      <c r="E1085" t="n">
        <v>0</v>
      </c>
      <c r="F1085" t="n">
        <v>1417</v>
      </c>
      <c r="G1085" t="n">
        <v>23692067.99</v>
      </c>
      <c r="H1085">
        <f>IFERROR(VLOOKUP(C1085,Lookups!$A$3:$C$7,3,FALSE),"UNMAPPED")</f>
        <v/>
      </c>
    </row>
    <row r="1086">
      <c r="A1086" s="5" t="n">
        <v>46081</v>
      </c>
      <c r="B1086" t="inlineStr">
        <is>
          <t>CZ</t>
        </is>
      </c>
      <c r="C1086" t="inlineStr">
        <is>
          <t>CC_CLASSIC</t>
        </is>
      </c>
      <c r="D1086" t="inlineStr">
        <is>
          <t>1-29</t>
        </is>
      </c>
      <c r="E1086" t="n">
        <v>1</v>
      </c>
      <c r="F1086" t="n">
        <v>34</v>
      </c>
      <c r="G1086" t="n">
        <v>620206.73</v>
      </c>
      <c r="H1086">
        <f>IFERROR(VLOOKUP(C1086,Lookups!$A$3:$C$7,3,FALSE),"UNMAPPED")</f>
        <v/>
      </c>
    </row>
    <row r="1087">
      <c r="A1087" s="5" t="n">
        <v>46081</v>
      </c>
      <c r="B1087" t="inlineStr">
        <is>
          <t>CZ</t>
        </is>
      </c>
      <c r="C1087" t="inlineStr">
        <is>
          <t>CC_CLASSIC</t>
        </is>
      </c>
      <c r="D1087" t="inlineStr">
        <is>
          <t>30-59</t>
        </is>
      </c>
      <c r="E1087" t="n">
        <v>30</v>
      </c>
      <c r="F1087" t="n">
        <v>12</v>
      </c>
      <c r="G1087" t="n">
        <v>202471.55</v>
      </c>
      <c r="H1087">
        <f>IFERROR(VLOOKUP(C1087,Lookups!$A$3:$C$7,3,FALSE),"UNMAPPED")</f>
        <v/>
      </c>
    </row>
    <row r="1088">
      <c r="A1088" s="5" t="n">
        <v>46081</v>
      </c>
      <c r="B1088" t="inlineStr">
        <is>
          <t>CZ</t>
        </is>
      </c>
      <c r="C1088" t="inlineStr">
        <is>
          <t>CC_CLASSIC</t>
        </is>
      </c>
      <c r="D1088" t="inlineStr">
        <is>
          <t>60-89</t>
        </is>
      </c>
      <c r="E1088" t="n">
        <v>60</v>
      </c>
      <c r="F1088" t="n">
        <v>10</v>
      </c>
      <c r="G1088" t="n">
        <v>113005.02</v>
      </c>
      <c r="H1088">
        <f>IFERROR(VLOOKUP(C1088,Lookups!$A$3:$C$7,3,FALSE),"UNMAPPED")</f>
        <v/>
      </c>
    </row>
    <row r="1089">
      <c r="A1089" s="5" t="n">
        <v>46081</v>
      </c>
      <c r="B1089" t="inlineStr">
        <is>
          <t>CZ</t>
        </is>
      </c>
      <c r="C1089" t="inlineStr">
        <is>
          <t>CC_CLASSIC</t>
        </is>
      </c>
      <c r="D1089" t="inlineStr">
        <is>
          <t>90-179</t>
        </is>
      </c>
      <c r="E1089" t="n">
        <v>90</v>
      </c>
      <c r="F1089" t="n">
        <v>19</v>
      </c>
      <c r="G1089" t="n">
        <v>346308.44</v>
      </c>
      <c r="H1089">
        <f>IFERROR(VLOOKUP(C1089,Lookups!$A$3:$C$7,3,FALSE),"UNMAPPED")</f>
        <v/>
      </c>
    </row>
    <row r="1090">
      <c r="A1090" s="5" t="n">
        <v>46081</v>
      </c>
      <c r="B1090" t="inlineStr">
        <is>
          <t>CZ</t>
        </is>
      </c>
      <c r="C1090" t="inlineStr">
        <is>
          <t>CC_CONSOL</t>
        </is>
      </c>
      <c r="D1090" t="inlineStr">
        <is>
          <t>Current</t>
        </is>
      </c>
      <c r="E1090" t="n">
        <v>0</v>
      </c>
      <c r="F1090" t="n">
        <v>143</v>
      </c>
      <c r="G1090" t="n">
        <v>20285784.01</v>
      </c>
      <c r="H1090">
        <f>IFERROR(VLOOKUP(C1090,Lookups!$A$3:$C$7,3,FALSE),"UNMAPPED")</f>
        <v/>
      </c>
    </row>
    <row r="1091">
      <c r="A1091" s="5" t="n">
        <v>46081</v>
      </c>
      <c r="B1091" t="inlineStr">
        <is>
          <t>CZ</t>
        </is>
      </c>
      <c r="C1091" t="inlineStr">
        <is>
          <t>CC_CONSOL</t>
        </is>
      </c>
      <c r="D1091" t="inlineStr">
        <is>
          <t>1-29</t>
        </is>
      </c>
      <c r="E1091" t="n">
        <v>1</v>
      </c>
      <c r="F1091" t="n">
        <v>2</v>
      </c>
      <c r="G1091" t="n">
        <v>189440.5</v>
      </c>
      <c r="H1091">
        <f>IFERROR(VLOOKUP(C1091,Lookups!$A$3:$C$7,3,FALSE),"UNMAPPED")</f>
        <v/>
      </c>
    </row>
    <row r="1092">
      <c r="A1092" s="5" t="n">
        <v>46081</v>
      </c>
      <c r="B1092" t="inlineStr">
        <is>
          <t>CZ</t>
        </is>
      </c>
      <c r="C1092" t="inlineStr">
        <is>
          <t>CC_CONSOL</t>
        </is>
      </c>
      <c r="D1092" t="inlineStr">
        <is>
          <t>30-59</t>
        </is>
      </c>
      <c r="E1092" t="n">
        <v>30</v>
      </c>
      <c r="F1092" t="n">
        <v>1</v>
      </c>
      <c r="G1092" t="n">
        <v>96984.10000000001</v>
      </c>
      <c r="H1092">
        <f>IFERROR(VLOOKUP(C1092,Lookups!$A$3:$C$7,3,FALSE),"UNMAPPED")</f>
        <v/>
      </c>
    </row>
    <row r="1093">
      <c r="A1093" s="5" t="n">
        <v>46081</v>
      </c>
      <c r="B1093" t="inlineStr">
        <is>
          <t>CZ</t>
        </is>
      </c>
      <c r="C1093" t="inlineStr">
        <is>
          <t>CC_CONSOL</t>
        </is>
      </c>
      <c r="D1093" t="inlineStr">
        <is>
          <t>60-89</t>
        </is>
      </c>
      <c r="E1093" t="n">
        <v>60</v>
      </c>
      <c r="F1093" t="n">
        <v>1</v>
      </c>
      <c r="G1093" t="n">
        <v>115486.36</v>
      </c>
      <c r="H1093">
        <f>IFERROR(VLOOKUP(C1093,Lookups!$A$3:$C$7,3,FALSE),"UNMAPPED")</f>
        <v/>
      </c>
    </row>
    <row r="1094">
      <c r="A1094" s="5" t="n">
        <v>46081</v>
      </c>
      <c r="B1094" t="inlineStr">
        <is>
          <t>CZ</t>
        </is>
      </c>
      <c r="C1094" t="inlineStr">
        <is>
          <t>CC_CONSOL</t>
        </is>
      </c>
      <c r="D1094" t="inlineStr">
        <is>
          <t>90-179</t>
        </is>
      </c>
      <c r="E1094" t="n">
        <v>90</v>
      </c>
      <c r="F1094" t="n">
        <v>1</v>
      </c>
      <c r="G1094" t="n">
        <v>198207.9</v>
      </c>
      <c r="H1094">
        <f>IFERROR(VLOOKUP(C1094,Lookups!$A$3:$C$7,3,FALSE),"UNMAPPED")</f>
        <v/>
      </c>
    </row>
    <row r="1095">
      <c r="A1095" s="5" t="n">
        <v>46081</v>
      </c>
      <c r="B1095" t="inlineStr">
        <is>
          <t>CZ</t>
        </is>
      </c>
      <c r="C1095" t="inlineStr">
        <is>
          <t>CC_GOLD</t>
        </is>
      </c>
      <c r="D1095" t="inlineStr">
        <is>
          <t>Current</t>
        </is>
      </c>
      <c r="E1095" t="n">
        <v>0</v>
      </c>
      <c r="F1095" t="n">
        <v>393</v>
      </c>
      <c r="G1095" t="n">
        <v>23792879.74</v>
      </c>
      <c r="H1095">
        <f>IFERROR(VLOOKUP(C1095,Lookups!$A$3:$C$7,3,FALSE),"UNMAPPED")</f>
        <v/>
      </c>
    </row>
    <row r="1096">
      <c r="A1096" s="5" t="n">
        <v>46081</v>
      </c>
      <c r="B1096" t="inlineStr">
        <is>
          <t>CZ</t>
        </is>
      </c>
      <c r="C1096" t="inlineStr">
        <is>
          <t>CC_GOLD</t>
        </is>
      </c>
      <c r="D1096" t="inlineStr">
        <is>
          <t>1-29</t>
        </is>
      </c>
      <c r="E1096" t="n">
        <v>1</v>
      </c>
      <c r="F1096" t="n">
        <v>2</v>
      </c>
      <c r="G1096" t="n">
        <v>111837.02</v>
      </c>
      <c r="H1096">
        <f>IFERROR(VLOOKUP(C1096,Lookups!$A$3:$C$7,3,FALSE),"UNMAPPED")</f>
        <v/>
      </c>
    </row>
    <row r="1097">
      <c r="A1097" s="5" t="n">
        <v>46081</v>
      </c>
      <c r="B1097" t="inlineStr">
        <is>
          <t>CZ</t>
        </is>
      </c>
      <c r="C1097" t="inlineStr">
        <is>
          <t>CC_GOLD</t>
        </is>
      </c>
      <c r="D1097" t="inlineStr">
        <is>
          <t>30-59</t>
        </is>
      </c>
      <c r="E1097" t="n">
        <v>30</v>
      </c>
      <c r="F1097" t="n">
        <v>1</v>
      </c>
      <c r="G1097" t="n">
        <v>120063.3</v>
      </c>
      <c r="H1097">
        <f>IFERROR(VLOOKUP(C1097,Lookups!$A$3:$C$7,3,FALSE),"UNMAPPED")</f>
        <v/>
      </c>
    </row>
    <row r="1098">
      <c r="A1098" s="5" t="n">
        <v>46081</v>
      </c>
      <c r="B1098" t="inlineStr">
        <is>
          <t>CZ</t>
        </is>
      </c>
      <c r="C1098" t="inlineStr">
        <is>
          <t>CC_GOLD</t>
        </is>
      </c>
      <c r="D1098" t="inlineStr">
        <is>
          <t>90-179</t>
        </is>
      </c>
      <c r="E1098" t="n">
        <v>90</v>
      </c>
      <c r="F1098" t="n">
        <v>1</v>
      </c>
      <c r="G1098" t="n">
        <v>129743.37</v>
      </c>
      <c r="H1098">
        <f>IFERROR(VLOOKUP(C1098,Lookups!$A$3:$C$7,3,FALSE),"UNMAPPED")</f>
        <v/>
      </c>
    </row>
    <row r="1099">
      <c r="A1099" s="5" t="n">
        <v>46081</v>
      </c>
      <c r="B1099" t="inlineStr">
        <is>
          <t>CZ</t>
        </is>
      </c>
      <c r="C1099" t="inlineStr">
        <is>
          <t>PL_PREM</t>
        </is>
      </c>
      <c r="D1099" t="inlineStr">
        <is>
          <t>Current</t>
        </is>
      </c>
      <c r="E1099" t="n">
        <v>0</v>
      </c>
      <c r="F1099" t="n">
        <v>377</v>
      </c>
      <c r="G1099" t="n">
        <v>83020996.75</v>
      </c>
      <c r="H1099">
        <f>IFERROR(VLOOKUP(C1099,Lookups!$A$3:$C$7,3,FALSE),"UNMAPPED")</f>
        <v/>
      </c>
    </row>
    <row r="1100">
      <c r="A1100" s="5" t="n">
        <v>46081</v>
      </c>
      <c r="B1100" t="inlineStr">
        <is>
          <t>CZ</t>
        </is>
      </c>
      <c r="C1100" t="inlineStr">
        <is>
          <t>PL_PREM</t>
        </is>
      </c>
      <c r="D1100" t="inlineStr">
        <is>
          <t>1-29</t>
        </is>
      </c>
      <c r="E1100" t="n">
        <v>1</v>
      </c>
      <c r="F1100" t="n">
        <v>9</v>
      </c>
      <c r="G1100" t="n">
        <v>1956041.64</v>
      </c>
      <c r="H1100">
        <f>IFERROR(VLOOKUP(C1100,Lookups!$A$3:$C$7,3,FALSE),"UNMAPPED")</f>
        <v/>
      </c>
    </row>
    <row r="1101">
      <c r="A1101" s="5" t="n">
        <v>46081</v>
      </c>
      <c r="B1101" t="inlineStr">
        <is>
          <t>CZ</t>
        </is>
      </c>
      <c r="C1101" t="inlineStr">
        <is>
          <t>PL_PREM</t>
        </is>
      </c>
      <c r="D1101" t="inlineStr">
        <is>
          <t>30-59</t>
        </is>
      </c>
      <c r="E1101" t="n">
        <v>30</v>
      </c>
      <c r="F1101" t="n">
        <v>2</v>
      </c>
      <c r="G1101" t="n">
        <v>399697.69</v>
      </c>
      <c r="H1101">
        <f>IFERROR(VLOOKUP(C1101,Lookups!$A$3:$C$7,3,FALSE),"UNMAPPED")</f>
        <v/>
      </c>
    </row>
    <row r="1102">
      <c r="A1102" s="5" t="n">
        <v>46081</v>
      </c>
      <c r="B1102" t="inlineStr">
        <is>
          <t>CZ</t>
        </is>
      </c>
      <c r="C1102" t="inlineStr">
        <is>
          <t>PL_PREM</t>
        </is>
      </c>
      <c r="D1102" t="inlineStr">
        <is>
          <t>90-179</t>
        </is>
      </c>
      <c r="E1102" t="n">
        <v>90</v>
      </c>
      <c r="F1102" t="n">
        <v>6</v>
      </c>
      <c r="G1102" t="n">
        <v>1096579.87</v>
      </c>
      <c r="H1102">
        <f>IFERROR(VLOOKUP(C1102,Lookups!$A$3:$C$7,3,FALSE),"UNMAPPED")</f>
        <v/>
      </c>
    </row>
    <row r="1103">
      <c r="A1103" s="5" t="n">
        <v>46081</v>
      </c>
      <c r="B1103" t="inlineStr">
        <is>
          <t>CZ</t>
        </is>
      </c>
      <c r="C1103" t="inlineStr">
        <is>
          <t>PL_STD</t>
        </is>
      </c>
      <c r="D1103" t="inlineStr">
        <is>
          <t>Current</t>
        </is>
      </c>
      <c r="E1103" t="n">
        <v>0</v>
      </c>
      <c r="F1103" t="n">
        <v>907</v>
      </c>
      <c r="G1103" t="n">
        <v>58891130.28</v>
      </c>
      <c r="H1103">
        <f>IFERROR(VLOOKUP(C1103,Lookups!$A$3:$C$7,3,FALSE),"UNMAPPED")</f>
        <v/>
      </c>
    </row>
    <row r="1104">
      <c r="A1104" s="5" t="n">
        <v>46081</v>
      </c>
      <c r="B1104" t="inlineStr">
        <is>
          <t>CZ</t>
        </is>
      </c>
      <c r="C1104" t="inlineStr">
        <is>
          <t>PL_STD</t>
        </is>
      </c>
      <c r="D1104" t="inlineStr">
        <is>
          <t>1-29</t>
        </is>
      </c>
      <c r="E1104" t="n">
        <v>1</v>
      </c>
      <c r="F1104" t="n">
        <v>11</v>
      </c>
      <c r="G1104" t="n">
        <v>797106.37</v>
      </c>
      <c r="H1104">
        <f>IFERROR(VLOOKUP(C1104,Lookups!$A$3:$C$7,3,FALSE),"UNMAPPED")</f>
        <v/>
      </c>
    </row>
    <row r="1105">
      <c r="A1105" s="5" t="n">
        <v>46081</v>
      </c>
      <c r="B1105" t="inlineStr">
        <is>
          <t>CZ</t>
        </is>
      </c>
      <c r="C1105" t="inlineStr">
        <is>
          <t>PL_STD</t>
        </is>
      </c>
      <c r="D1105" t="inlineStr">
        <is>
          <t>30-59</t>
        </is>
      </c>
      <c r="E1105" t="n">
        <v>30</v>
      </c>
      <c r="F1105" t="n">
        <v>8</v>
      </c>
      <c r="G1105" t="n">
        <v>681874.86</v>
      </c>
      <c r="H1105">
        <f>IFERROR(VLOOKUP(C1105,Lookups!$A$3:$C$7,3,FALSE),"UNMAPPED")</f>
        <v/>
      </c>
    </row>
    <row r="1106">
      <c r="A1106" s="5" t="n">
        <v>46081</v>
      </c>
      <c r="B1106" t="inlineStr">
        <is>
          <t>CZ</t>
        </is>
      </c>
      <c r="C1106" t="inlineStr">
        <is>
          <t>PL_STD</t>
        </is>
      </c>
      <c r="D1106" t="inlineStr">
        <is>
          <t>60-89</t>
        </is>
      </c>
      <c r="E1106" t="n">
        <v>60</v>
      </c>
      <c r="F1106" t="n">
        <v>8</v>
      </c>
      <c r="G1106" t="n">
        <v>523678.41</v>
      </c>
      <c r="H1106">
        <f>IFERROR(VLOOKUP(C1106,Lookups!$A$3:$C$7,3,FALSE),"UNMAPPED")</f>
        <v/>
      </c>
    </row>
    <row r="1107">
      <c r="A1107" s="5" t="n">
        <v>46081</v>
      </c>
      <c r="B1107" t="inlineStr">
        <is>
          <t>CZ</t>
        </is>
      </c>
      <c r="C1107" t="inlineStr">
        <is>
          <t>PL_STD</t>
        </is>
      </c>
      <c r="D1107" t="inlineStr">
        <is>
          <t>90-179</t>
        </is>
      </c>
      <c r="E1107" t="n">
        <v>90</v>
      </c>
      <c r="F1107" t="n">
        <v>9</v>
      </c>
      <c r="G1107" t="n">
        <v>791779.22</v>
      </c>
      <c r="H1107">
        <f>IFERROR(VLOOKUP(C1107,Lookups!$A$3:$C$7,3,FALSE),"UNMAPPED")</f>
        <v/>
      </c>
    </row>
    <row r="1108">
      <c r="A1108" s="5" t="n">
        <v>46081</v>
      </c>
      <c r="B1108" t="inlineStr">
        <is>
          <t>PL</t>
        </is>
      </c>
      <c r="C1108" t="inlineStr">
        <is>
          <t>CC_CLASSIC</t>
        </is>
      </c>
      <c r="D1108" t="inlineStr">
        <is>
          <t>Current</t>
        </is>
      </c>
      <c r="E1108" t="n">
        <v>0</v>
      </c>
      <c r="F1108" t="n">
        <v>1893</v>
      </c>
      <c r="G1108" t="n">
        <v>5459963.23</v>
      </c>
      <c r="H1108">
        <f>IFERROR(VLOOKUP(C1108,Lookups!$A$3:$C$7,3,FALSE),"UNMAPPED")</f>
        <v/>
      </c>
    </row>
    <row r="1109">
      <c r="A1109" s="5" t="n">
        <v>46081</v>
      </c>
      <c r="B1109" t="inlineStr">
        <is>
          <t>PL</t>
        </is>
      </c>
      <c r="C1109" t="inlineStr">
        <is>
          <t>CC_CLASSIC</t>
        </is>
      </c>
      <c r="D1109" t="inlineStr">
        <is>
          <t>1-29</t>
        </is>
      </c>
      <c r="E1109" t="n">
        <v>1</v>
      </c>
      <c r="F1109" t="n">
        <v>34</v>
      </c>
      <c r="G1109" t="n">
        <v>90047.07000000001</v>
      </c>
      <c r="H1109">
        <f>IFERROR(VLOOKUP(C1109,Lookups!$A$3:$C$7,3,FALSE),"UNMAPPED")</f>
        <v/>
      </c>
    </row>
    <row r="1110">
      <c r="A1110" s="5" t="n">
        <v>46081</v>
      </c>
      <c r="B1110" t="inlineStr">
        <is>
          <t>PL</t>
        </is>
      </c>
      <c r="C1110" t="inlineStr">
        <is>
          <t>CC_CLASSIC</t>
        </is>
      </c>
      <c r="D1110" t="inlineStr">
        <is>
          <t>30-59</t>
        </is>
      </c>
      <c r="E1110" t="n">
        <v>30</v>
      </c>
      <c r="F1110" t="n">
        <v>16</v>
      </c>
      <c r="G1110" t="n">
        <v>72413.06</v>
      </c>
      <c r="H1110">
        <f>IFERROR(VLOOKUP(C1110,Lookups!$A$3:$C$7,3,FALSE),"UNMAPPED")</f>
        <v/>
      </c>
    </row>
    <row r="1111">
      <c r="A1111" s="5" t="n">
        <v>46081</v>
      </c>
      <c r="B1111" t="inlineStr">
        <is>
          <t>PL</t>
        </is>
      </c>
      <c r="C1111" t="inlineStr">
        <is>
          <t>CC_CLASSIC</t>
        </is>
      </c>
      <c r="D1111" t="inlineStr">
        <is>
          <t>60-89</t>
        </is>
      </c>
      <c r="E1111" t="n">
        <v>60</v>
      </c>
      <c r="F1111" t="n">
        <v>11</v>
      </c>
      <c r="G1111" t="n">
        <v>31545.02</v>
      </c>
      <c r="H1111">
        <f>IFERROR(VLOOKUP(C1111,Lookups!$A$3:$C$7,3,FALSE),"UNMAPPED")</f>
        <v/>
      </c>
    </row>
    <row r="1112">
      <c r="A1112" s="5" t="n">
        <v>46081</v>
      </c>
      <c r="B1112" t="inlineStr">
        <is>
          <t>PL</t>
        </is>
      </c>
      <c r="C1112" t="inlineStr">
        <is>
          <t>CC_CLASSIC</t>
        </is>
      </c>
      <c r="D1112" t="inlineStr">
        <is>
          <t>90-179</t>
        </is>
      </c>
      <c r="E1112" t="n">
        <v>90</v>
      </c>
      <c r="F1112" t="n">
        <v>30</v>
      </c>
      <c r="G1112" t="n">
        <v>97799.39999999999</v>
      </c>
      <c r="H1112">
        <f>IFERROR(VLOOKUP(C1112,Lookups!$A$3:$C$7,3,FALSE),"UNMAPPED")</f>
        <v/>
      </c>
    </row>
    <row r="1113">
      <c r="A1113" s="5" t="n">
        <v>46081</v>
      </c>
      <c r="B1113" t="inlineStr">
        <is>
          <t>PL</t>
        </is>
      </c>
      <c r="C1113" t="inlineStr">
        <is>
          <t>CC_CONSOL</t>
        </is>
      </c>
      <c r="D1113" t="inlineStr">
        <is>
          <t>Current</t>
        </is>
      </c>
      <c r="E1113" t="n">
        <v>0</v>
      </c>
      <c r="F1113" t="n">
        <v>171</v>
      </c>
      <c r="G1113" t="n">
        <v>4515892.62</v>
      </c>
      <c r="H1113">
        <f>IFERROR(VLOOKUP(C1113,Lookups!$A$3:$C$7,3,FALSE),"UNMAPPED")</f>
        <v/>
      </c>
    </row>
    <row r="1114">
      <c r="A1114" s="5" t="n">
        <v>46081</v>
      </c>
      <c r="B1114" t="inlineStr">
        <is>
          <t>PL</t>
        </is>
      </c>
      <c r="C1114" t="inlineStr">
        <is>
          <t>CC_CONSOL</t>
        </is>
      </c>
      <c r="D1114" t="inlineStr">
        <is>
          <t>1-29</t>
        </is>
      </c>
      <c r="E1114" t="n">
        <v>1</v>
      </c>
      <c r="F1114" t="n">
        <v>1</v>
      </c>
      <c r="G1114" t="n">
        <v>45042.28</v>
      </c>
      <c r="H1114">
        <f>IFERROR(VLOOKUP(C1114,Lookups!$A$3:$C$7,3,FALSE),"UNMAPPED")</f>
        <v/>
      </c>
    </row>
    <row r="1115">
      <c r="A1115" s="5" t="n">
        <v>46081</v>
      </c>
      <c r="B1115" t="inlineStr">
        <is>
          <t>PL</t>
        </is>
      </c>
      <c r="C1115" t="inlineStr">
        <is>
          <t>CC_CONSOL</t>
        </is>
      </c>
      <c r="D1115" t="inlineStr">
        <is>
          <t>30-59</t>
        </is>
      </c>
      <c r="E1115" t="n">
        <v>30</v>
      </c>
      <c r="F1115" t="n">
        <v>1</v>
      </c>
      <c r="G1115" t="n">
        <v>28393.95</v>
      </c>
      <c r="H1115">
        <f>IFERROR(VLOOKUP(C1115,Lookups!$A$3:$C$7,3,FALSE),"UNMAPPED")</f>
        <v/>
      </c>
    </row>
    <row r="1116">
      <c r="A1116" s="5" t="n">
        <v>46081</v>
      </c>
      <c r="B1116" t="inlineStr">
        <is>
          <t>PL</t>
        </is>
      </c>
      <c r="C1116" t="inlineStr">
        <is>
          <t>CC_CONSOL</t>
        </is>
      </c>
      <c r="D1116" t="inlineStr">
        <is>
          <t>60-89</t>
        </is>
      </c>
      <c r="E1116" t="n">
        <v>60</v>
      </c>
      <c r="F1116" t="n">
        <v>2</v>
      </c>
      <c r="G1116" t="n">
        <v>91716.45</v>
      </c>
      <c r="H1116">
        <f>IFERROR(VLOOKUP(C1116,Lookups!$A$3:$C$7,3,FALSE),"UNMAPPED")</f>
        <v/>
      </c>
    </row>
    <row r="1117">
      <c r="A1117" s="5" t="n">
        <v>46081</v>
      </c>
      <c r="B1117" t="inlineStr">
        <is>
          <t>PL</t>
        </is>
      </c>
      <c r="C1117" t="inlineStr">
        <is>
          <t>CC_CONSOL</t>
        </is>
      </c>
      <c r="D1117" t="inlineStr">
        <is>
          <t>90-179</t>
        </is>
      </c>
      <c r="E1117" t="n">
        <v>90</v>
      </c>
      <c r="F1117" t="n">
        <v>5</v>
      </c>
      <c r="G1117" t="n">
        <v>105342.23</v>
      </c>
      <c r="H1117">
        <f>IFERROR(VLOOKUP(C1117,Lookups!$A$3:$C$7,3,FALSE),"UNMAPPED")</f>
        <v/>
      </c>
    </row>
    <row r="1118">
      <c r="A1118" s="5" t="n">
        <v>46081</v>
      </c>
      <c r="B1118" t="inlineStr">
        <is>
          <t>PL</t>
        </is>
      </c>
      <c r="C1118" t="inlineStr">
        <is>
          <t>CC_GOLD</t>
        </is>
      </c>
      <c r="D1118" t="inlineStr">
        <is>
          <t>Current</t>
        </is>
      </c>
      <c r="E1118" t="n">
        <v>0</v>
      </c>
      <c r="F1118" t="n">
        <v>542</v>
      </c>
      <c r="G1118" t="n">
        <v>5552817.4</v>
      </c>
      <c r="H1118">
        <f>IFERROR(VLOOKUP(C1118,Lookups!$A$3:$C$7,3,FALSE),"UNMAPPED")</f>
        <v/>
      </c>
    </row>
    <row r="1119">
      <c r="A1119" s="5" t="n">
        <v>46081</v>
      </c>
      <c r="B1119" t="inlineStr">
        <is>
          <t>PL</t>
        </is>
      </c>
      <c r="C1119" t="inlineStr">
        <is>
          <t>CC_GOLD</t>
        </is>
      </c>
      <c r="D1119" t="inlineStr">
        <is>
          <t>1-29</t>
        </is>
      </c>
      <c r="E1119" t="n">
        <v>1</v>
      </c>
      <c r="F1119" t="n">
        <v>7</v>
      </c>
      <c r="G1119" t="n">
        <v>85871.42999999999</v>
      </c>
      <c r="H1119">
        <f>IFERROR(VLOOKUP(C1119,Lookups!$A$3:$C$7,3,FALSE),"UNMAPPED")</f>
        <v/>
      </c>
    </row>
    <row r="1120">
      <c r="A1120" s="5" t="n">
        <v>46081</v>
      </c>
      <c r="B1120" t="inlineStr">
        <is>
          <t>PL</t>
        </is>
      </c>
      <c r="C1120" t="inlineStr">
        <is>
          <t>CC_GOLD</t>
        </is>
      </c>
      <c r="D1120" t="inlineStr">
        <is>
          <t>30-59</t>
        </is>
      </c>
      <c r="E1120" t="n">
        <v>30</v>
      </c>
      <c r="F1120" t="n">
        <v>5</v>
      </c>
      <c r="G1120" t="n">
        <v>51671.56</v>
      </c>
      <c r="H1120">
        <f>IFERROR(VLOOKUP(C1120,Lookups!$A$3:$C$7,3,FALSE),"UNMAPPED")</f>
        <v/>
      </c>
    </row>
    <row r="1121">
      <c r="A1121" s="5" t="n">
        <v>46081</v>
      </c>
      <c r="B1121" t="inlineStr">
        <is>
          <t>PL</t>
        </is>
      </c>
      <c r="C1121" t="inlineStr">
        <is>
          <t>CC_GOLD</t>
        </is>
      </c>
      <c r="D1121" t="inlineStr">
        <is>
          <t>60-89</t>
        </is>
      </c>
      <c r="E1121" t="n">
        <v>60</v>
      </c>
      <c r="F1121" t="n">
        <v>2</v>
      </c>
      <c r="G1121" t="n">
        <v>19400.12</v>
      </c>
      <c r="H1121">
        <f>IFERROR(VLOOKUP(C1121,Lookups!$A$3:$C$7,3,FALSE),"UNMAPPED")</f>
        <v/>
      </c>
    </row>
    <row r="1122">
      <c r="A1122" s="5" t="n">
        <v>46081</v>
      </c>
      <c r="B1122" t="inlineStr">
        <is>
          <t>PL</t>
        </is>
      </c>
      <c r="C1122" t="inlineStr">
        <is>
          <t>CC_GOLD</t>
        </is>
      </c>
      <c r="D1122" t="inlineStr">
        <is>
          <t>90-179</t>
        </is>
      </c>
      <c r="E1122" t="n">
        <v>90</v>
      </c>
      <c r="F1122" t="n">
        <v>13</v>
      </c>
      <c r="G1122" t="n">
        <v>217136.43</v>
      </c>
      <c r="H1122">
        <f>IFERROR(VLOOKUP(C1122,Lookups!$A$3:$C$7,3,FALSE),"UNMAPPED")</f>
        <v/>
      </c>
    </row>
    <row r="1123">
      <c r="A1123" s="5" t="n">
        <v>46081</v>
      </c>
      <c r="B1123" t="inlineStr">
        <is>
          <t>PL</t>
        </is>
      </c>
      <c r="C1123" t="inlineStr">
        <is>
          <t>PL_PREM</t>
        </is>
      </c>
      <c r="D1123" t="inlineStr">
        <is>
          <t>Current</t>
        </is>
      </c>
      <c r="E1123" t="n">
        <v>0</v>
      </c>
      <c r="F1123" t="n">
        <v>574</v>
      </c>
      <c r="G1123" t="n">
        <v>21700790.16</v>
      </c>
      <c r="H1123">
        <f>IFERROR(VLOOKUP(C1123,Lookups!$A$3:$C$7,3,FALSE),"UNMAPPED")</f>
        <v/>
      </c>
    </row>
    <row r="1124">
      <c r="A1124" s="5" t="n">
        <v>46081</v>
      </c>
      <c r="B1124" t="inlineStr">
        <is>
          <t>PL</t>
        </is>
      </c>
      <c r="C1124" t="inlineStr">
        <is>
          <t>PL_PREM</t>
        </is>
      </c>
      <c r="D1124" t="inlineStr">
        <is>
          <t>1-29</t>
        </is>
      </c>
      <c r="E1124" t="n">
        <v>1</v>
      </c>
      <c r="F1124" t="n">
        <v>11</v>
      </c>
      <c r="G1124" t="n">
        <v>348237.49</v>
      </c>
      <c r="H1124">
        <f>IFERROR(VLOOKUP(C1124,Lookups!$A$3:$C$7,3,FALSE),"UNMAPPED")</f>
        <v/>
      </c>
    </row>
    <row r="1125">
      <c r="A1125" s="5" t="n">
        <v>46081</v>
      </c>
      <c r="B1125" t="inlineStr">
        <is>
          <t>PL</t>
        </is>
      </c>
      <c r="C1125" t="inlineStr">
        <is>
          <t>PL_PREM</t>
        </is>
      </c>
      <c r="D1125" t="inlineStr">
        <is>
          <t>30-59</t>
        </is>
      </c>
      <c r="E1125" t="n">
        <v>30</v>
      </c>
      <c r="F1125" t="n">
        <v>9</v>
      </c>
      <c r="G1125" t="n">
        <v>409222.19</v>
      </c>
      <c r="H1125">
        <f>IFERROR(VLOOKUP(C1125,Lookups!$A$3:$C$7,3,FALSE),"UNMAPPED")</f>
        <v/>
      </c>
    </row>
    <row r="1126">
      <c r="A1126" s="5" t="n">
        <v>46081</v>
      </c>
      <c r="B1126" t="inlineStr">
        <is>
          <t>PL</t>
        </is>
      </c>
      <c r="C1126" t="inlineStr">
        <is>
          <t>PL_PREM</t>
        </is>
      </c>
      <c r="D1126" t="inlineStr">
        <is>
          <t>60-89</t>
        </is>
      </c>
      <c r="E1126" t="n">
        <v>60</v>
      </c>
      <c r="F1126" t="n">
        <v>6</v>
      </c>
      <c r="G1126" t="n">
        <v>240456.76</v>
      </c>
      <c r="H1126">
        <f>IFERROR(VLOOKUP(C1126,Lookups!$A$3:$C$7,3,FALSE),"UNMAPPED")</f>
        <v/>
      </c>
    </row>
    <row r="1127">
      <c r="A1127" s="5" t="n">
        <v>46081</v>
      </c>
      <c r="B1127" t="inlineStr">
        <is>
          <t>PL</t>
        </is>
      </c>
      <c r="C1127" t="inlineStr">
        <is>
          <t>PL_PREM</t>
        </is>
      </c>
      <c r="D1127" t="inlineStr">
        <is>
          <t>90-179</t>
        </is>
      </c>
      <c r="E1127" t="n">
        <v>90</v>
      </c>
      <c r="F1127" t="n">
        <v>8</v>
      </c>
      <c r="G1127" t="n">
        <v>379539.27</v>
      </c>
      <c r="H1127">
        <f>IFERROR(VLOOKUP(C1127,Lookups!$A$3:$C$7,3,FALSE),"UNMAPPED")</f>
        <v/>
      </c>
    </row>
    <row r="1128">
      <c r="A1128" s="5" t="n">
        <v>46081</v>
      </c>
      <c r="B1128" t="inlineStr">
        <is>
          <t>PL</t>
        </is>
      </c>
      <c r="C1128" t="inlineStr">
        <is>
          <t>PL_STD</t>
        </is>
      </c>
      <c r="D1128" t="inlineStr">
        <is>
          <t>Current</t>
        </is>
      </c>
      <c r="E1128" t="n">
        <v>0</v>
      </c>
      <c r="F1128" t="n">
        <v>1180</v>
      </c>
      <c r="G1128" t="n">
        <v>13026998.51</v>
      </c>
      <c r="H1128">
        <f>IFERROR(VLOOKUP(C1128,Lookups!$A$3:$C$7,3,FALSE),"UNMAPPED")</f>
        <v/>
      </c>
    </row>
    <row r="1129">
      <c r="A1129" s="5" t="n">
        <v>46081</v>
      </c>
      <c r="B1129" t="inlineStr">
        <is>
          <t>PL</t>
        </is>
      </c>
      <c r="C1129" t="inlineStr">
        <is>
          <t>PL_STD</t>
        </is>
      </c>
      <c r="D1129" t="inlineStr">
        <is>
          <t>1-29</t>
        </is>
      </c>
      <c r="E1129" t="n">
        <v>1</v>
      </c>
      <c r="F1129" t="n">
        <v>27</v>
      </c>
      <c r="G1129" t="n">
        <v>296013.83</v>
      </c>
      <c r="H1129">
        <f>IFERROR(VLOOKUP(C1129,Lookups!$A$3:$C$7,3,FALSE),"UNMAPPED")</f>
        <v/>
      </c>
    </row>
    <row r="1130">
      <c r="A1130" s="5" t="n">
        <v>46081</v>
      </c>
      <c r="B1130" t="inlineStr">
        <is>
          <t>PL</t>
        </is>
      </c>
      <c r="C1130" t="inlineStr">
        <is>
          <t>PL_STD</t>
        </is>
      </c>
      <c r="D1130" t="inlineStr">
        <is>
          <t>30-59</t>
        </is>
      </c>
      <c r="E1130" t="n">
        <v>30</v>
      </c>
      <c r="F1130" t="n">
        <v>17</v>
      </c>
      <c r="G1130" t="n">
        <v>189125.53</v>
      </c>
      <c r="H1130">
        <f>IFERROR(VLOOKUP(C1130,Lookups!$A$3:$C$7,3,FALSE),"UNMAPPED")</f>
        <v/>
      </c>
    </row>
    <row r="1131">
      <c r="A1131" s="5" t="n">
        <v>46081</v>
      </c>
      <c r="B1131" t="inlineStr">
        <is>
          <t>PL</t>
        </is>
      </c>
      <c r="C1131" t="inlineStr">
        <is>
          <t>PL_STD</t>
        </is>
      </c>
      <c r="D1131" t="inlineStr">
        <is>
          <t>60-89</t>
        </is>
      </c>
      <c r="E1131" t="n">
        <v>60</v>
      </c>
      <c r="F1131" t="n">
        <v>13</v>
      </c>
      <c r="G1131" t="n">
        <v>158741.4</v>
      </c>
      <c r="H1131">
        <f>IFERROR(VLOOKUP(C1131,Lookups!$A$3:$C$7,3,FALSE),"UNMAPPED")</f>
        <v/>
      </c>
    </row>
    <row r="1132">
      <c r="A1132" s="5" t="n">
        <v>46081</v>
      </c>
      <c r="B1132" t="inlineStr">
        <is>
          <t>PL</t>
        </is>
      </c>
      <c r="C1132" t="inlineStr">
        <is>
          <t>PL_STD</t>
        </is>
      </c>
      <c r="D1132" t="inlineStr">
        <is>
          <t>90-179</t>
        </is>
      </c>
      <c r="E1132" t="n">
        <v>90</v>
      </c>
      <c r="F1132" t="n">
        <v>20</v>
      </c>
      <c r="G1132" t="n">
        <v>313142.74</v>
      </c>
      <c r="H1132">
        <f>IFERROR(VLOOKUP(C1132,Lookups!$A$3:$C$7,3,FALSE),"UNMAPPED")</f>
        <v/>
      </c>
    </row>
    <row r="1133">
      <c r="A1133" s="5" t="n">
        <v>46081</v>
      </c>
      <c r="B1133" t="inlineStr">
        <is>
          <t>RO</t>
        </is>
      </c>
      <c r="C1133" t="inlineStr">
        <is>
          <t>CC_CLASSIC</t>
        </is>
      </c>
      <c r="D1133" t="inlineStr">
        <is>
          <t>Current</t>
        </is>
      </c>
      <c r="E1133" t="n">
        <v>0</v>
      </c>
      <c r="F1133" t="n">
        <v>1079</v>
      </c>
      <c r="G1133" t="n">
        <v>3714335.22</v>
      </c>
      <c r="H1133">
        <f>IFERROR(VLOOKUP(C1133,Lookups!$A$3:$C$7,3,FALSE),"UNMAPPED")</f>
        <v/>
      </c>
    </row>
    <row r="1134">
      <c r="A1134" s="5" t="n">
        <v>46081</v>
      </c>
      <c r="B1134" t="inlineStr">
        <is>
          <t>RO</t>
        </is>
      </c>
      <c r="C1134" t="inlineStr">
        <is>
          <t>CC_CLASSIC</t>
        </is>
      </c>
      <c r="D1134" t="inlineStr">
        <is>
          <t>1-29</t>
        </is>
      </c>
      <c r="E1134" t="n">
        <v>1</v>
      </c>
      <c r="F1134" t="n">
        <v>16</v>
      </c>
      <c r="G1134" t="n">
        <v>61086.97</v>
      </c>
      <c r="H1134">
        <f>IFERROR(VLOOKUP(C1134,Lookups!$A$3:$C$7,3,FALSE),"UNMAPPED")</f>
        <v/>
      </c>
    </row>
    <row r="1135">
      <c r="A1135" s="5" t="n">
        <v>46081</v>
      </c>
      <c r="B1135" t="inlineStr">
        <is>
          <t>RO</t>
        </is>
      </c>
      <c r="C1135" t="inlineStr">
        <is>
          <t>CC_CLASSIC</t>
        </is>
      </c>
      <c r="D1135" t="inlineStr">
        <is>
          <t>30-59</t>
        </is>
      </c>
      <c r="E1135" t="n">
        <v>30</v>
      </c>
      <c r="F1135" t="n">
        <v>17</v>
      </c>
      <c r="G1135" t="n">
        <v>63235.53</v>
      </c>
      <c r="H1135">
        <f>IFERROR(VLOOKUP(C1135,Lookups!$A$3:$C$7,3,FALSE),"UNMAPPED")</f>
        <v/>
      </c>
    </row>
    <row r="1136">
      <c r="A1136" s="5" t="n">
        <v>46081</v>
      </c>
      <c r="B1136" t="inlineStr">
        <is>
          <t>RO</t>
        </is>
      </c>
      <c r="C1136" t="inlineStr">
        <is>
          <t>CC_CLASSIC</t>
        </is>
      </c>
      <c r="D1136" t="inlineStr">
        <is>
          <t>60-89</t>
        </is>
      </c>
      <c r="E1136" t="n">
        <v>60</v>
      </c>
      <c r="F1136" t="n">
        <v>7</v>
      </c>
      <c r="G1136" t="n">
        <v>22831.04</v>
      </c>
      <c r="H1136">
        <f>IFERROR(VLOOKUP(C1136,Lookups!$A$3:$C$7,3,FALSE),"UNMAPPED")</f>
        <v/>
      </c>
    </row>
    <row r="1137">
      <c r="A1137" s="5" t="n">
        <v>46081</v>
      </c>
      <c r="B1137" t="inlineStr">
        <is>
          <t>RO</t>
        </is>
      </c>
      <c r="C1137" t="inlineStr">
        <is>
          <t>CC_CLASSIC</t>
        </is>
      </c>
      <c r="D1137" t="inlineStr">
        <is>
          <t>90-179</t>
        </is>
      </c>
      <c r="E1137" t="n">
        <v>90</v>
      </c>
      <c r="F1137" t="n">
        <v>16</v>
      </c>
      <c r="G1137" t="n">
        <v>71999.53999999999</v>
      </c>
      <c r="H1137">
        <f>IFERROR(VLOOKUP(C1137,Lookups!$A$3:$C$7,3,FALSE),"UNMAPPED")</f>
        <v/>
      </c>
    </row>
    <row r="1138">
      <c r="A1138" s="5" t="n">
        <v>46081</v>
      </c>
      <c r="B1138" t="inlineStr">
        <is>
          <t>RO</t>
        </is>
      </c>
      <c r="C1138" t="inlineStr">
        <is>
          <t>CC_CONSOL</t>
        </is>
      </c>
      <c r="D1138" t="inlineStr">
        <is>
          <t>Current</t>
        </is>
      </c>
      <c r="E1138" t="n">
        <v>0</v>
      </c>
      <c r="F1138" t="n">
        <v>104</v>
      </c>
      <c r="G1138" t="n">
        <v>3161668.68</v>
      </c>
      <c r="H1138">
        <f>IFERROR(VLOOKUP(C1138,Lookups!$A$3:$C$7,3,FALSE),"UNMAPPED")</f>
        <v/>
      </c>
    </row>
    <row r="1139">
      <c r="A1139" s="5" t="n">
        <v>46081</v>
      </c>
      <c r="B1139" t="inlineStr">
        <is>
          <t>RO</t>
        </is>
      </c>
      <c r="C1139" t="inlineStr">
        <is>
          <t>CC_CONSOL</t>
        </is>
      </c>
      <c r="D1139" t="inlineStr">
        <is>
          <t>30-59</t>
        </is>
      </c>
      <c r="E1139" t="n">
        <v>30</v>
      </c>
      <c r="F1139" t="n">
        <v>1</v>
      </c>
      <c r="G1139" t="n">
        <v>42695.77</v>
      </c>
      <c r="H1139">
        <f>IFERROR(VLOOKUP(C1139,Lookups!$A$3:$C$7,3,FALSE),"UNMAPPED")</f>
        <v/>
      </c>
    </row>
    <row r="1140">
      <c r="A1140" s="5" t="n">
        <v>46081</v>
      </c>
      <c r="B1140" t="inlineStr">
        <is>
          <t>RO</t>
        </is>
      </c>
      <c r="C1140" t="inlineStr">
        <is>
          <t>CC_CONSOL</t>
        </is>
      </c>
      <c r="D1140" t="inlineStr">
        <is>
          <t>60-89</t>
        </is>
      </c>
      <c r="E1140" t="n">
        <v>60</v>
      </c>
      <c r="F1140" t="n">
        <v>1</v>
      </c>
      <c r="G1140" t="n">
        <v>48696.7</v>
      </c>
      <c r="H1140">
        <f>IFERROR(VLOOKUP(C1140,Lookups!$A$3:$C$7,3,FALSE),"UNMAPPED")</f>
        <v/>
      </c>
    </row>
    <row r="1141">
      <c r="A1141" s="5" t="n">
        <v>46081</v>
      </c>
      <c r="B1141" t="inlineStr">
        <is>
          <t>RO</t>
        </is>
      </c>
      <c r="C1141" t="inlineStr">
        <is>
          <t>CC_CONSOL</t>
        </is>
      </c>
      <c r="D1141" t="inlineStr">
        <is>
          <t>90-179</t>
        </is>
      </c>
      <c r="E1141" t="n">
        <v>90</v>
      </c>
      <c r="F1141" t="n">
        <v>3</v>
      </c>
      <c r="G1141" t="n">
        <v>82753.42999999999</v>
      </c>
      <c r="H1141">
        <f>IFERROR(VLOOKUP(C1141,Lookups!$A$3:$C$7,3,FALSE),"UNMAPPED")</f>
        <v/>
      </c>
    </row>
    <row r="1142">
      <c r="A1142" s="5" t="n">
        <v>46081</v>
      </c>
      <c r="B1142" t="inlineStr">
        <is>
          <t>RO</t>
        </is>
      </c>
      <c r="C1142" t="inlineStr">
        <is>
          <t>CC_GOLD</t>
        </is>
      </c>
      <c r="D1142" t="inlineStr">
        <is>
          <t>Current</t>
        </is>
      </c>
      <c r="E1142" t="n">
        <v>0</v>
      </c>
      <c r="F1142" t="n">
        <v>310</v>
      </c>
      <c r="G1142" t="n">
        <v>3483823.91</v>
      </c>
      <c r="H1142">
        <f>IFERROR(VLOOKUP(C1142,Lookups!$A$3:$C$7,3,FALSE),"UNMAPPED")</f>
        <v/>
      </c>
    </row>
    <row r="1143">
      <c r="A1143" s="5" t="n">
        <v>46081</v>
      </c>
      <c r="B1143" t="inlineStr">
        <is>
          <t>RO</t>
        </is>
      </c>
      <c r="C1143" t="inlineStr">
        <is>
          <t>CC_GOLD</t>
        </is>
      </c>
      <c r="D1143" t="inlineStr">
        <is>
          <t>1-29</t>
        </is>
      </c>
      <c r="E1143" t="n">
        <v>1</v>
      </c>
      <c r="F1143" t="n">
        <v>4</v>
      </c>
      <c r="G1143" t="n">
        <v>28007.22</v>
      </c>
      <c r="H1143">
        <f>IFERROR(VLOOKUP(C1143,Lookups!$A$3:$C$7,3,FALSE),"UNMAPPED")</f>
        <v/>
      </c>
    </row>
    <row r="1144">
      <c r="A1144" s="5" t="n">
        <v>46081</v>
      </c>
      <c r="B1144" t="inlineStr">
        <is>
          <t>RO</t>
        </is>
      </c>
      <c r="C1144" t="inlineStr">
        <is>
          <t>CC_GOLD</t>
        </is>
      </c>
      <c r="D1144" t="inlineStr">
        <is>
          <t>30-59</t>
        </is>
      </c>
      <c r="E1144" t="n">
        <v>30</v>
      </c>
      <c r="F1144" t="n">
        <v>1</v>
      </c>
      <c r="G1144" t="n">
        <v>28676.98</v>
      </c>
      <c r="H1144">
        <f>IFERROR(VLOOKUP(C1144,Lookups!$A$3:$C$7,3,FALSE),"UNMAPPED")</f>
        <v/>
      </c>
    </row>
    <row r="1145">
      <c r="A1145" s="5" t="n">
        <v>46081</v>
      </c>
      <c r="B1145" t="inlineStr">
        <is>
          <t>RO</t>
        </is>
      </c>
      <c r="C1145" t="inlineStr">
        <is>
          <t>CC_GOLD</t>
        </is>
      </c>
      <c r="D1145" t="inlineStr">
        <is>
          <t>60-89</t>
        </is>
      </c>
      <c r="E1145" t="n">
        <v>60</v>
      </c>
      <c r="F1145" t="n">
        <v>3</v>
      </c>
      <c r="G1145" t="n">
        <v>29946.3</v>
      </c>
      <c r="H1145">
        <f>IFERROR(VLOOKUP(C1145,Lookups!$A$3:$C$7,3,FALSE),"UNMAPPED")</f>
        <v/>
      </c>
    </row>
    <row r="1146">
      <c r="A1146" s="5" t="n">
        <v>46081</v>
      </c>
      <c r="B1146" t="inlineStr">
        <is>
          <t>RO</t>
        </is>
      </c>
      <c r="C1146" t="inlineStr">
        <is>
          <t>CC_GOLD</t>
        </is>
      </c>
      <c r="D1146" t="inlineStr">
        <is>
          <t>90-179</t>
        </is>
      </c>
      <c r="E1146" t="n">
        <v>90</v>
      </c>
      <c r="F1146" t="n">
        <v>8</v>
      </c>
      <c r="G1146" t="n">
        <v>110037.65</v>
      </c>
      <c r="H1146">
        <f>IFERROR(VLOOKUP(C1146,Lookups!$A$3:$C$7,3,FALSE),"UNMAPPED")</f>
        <v/>
      </c>
    </row>
    <row r="1147">
      <c r="A1147" s="5" t="n">
        <v>46081</v>
      </c>
      <c r="B1147" t="inlineStr">
        <is>
          <t>RO</t>
        </is>
      </c>
      <c r="C1147" t="inlineStr">
        <is>
          <t>PL_PREM</t>
        </is>
      </c>
      <c r="D1147" t="inlineStr">
        <is>
          <t>Current</t>
        </is>
      </c>
      <c r="E1147" t="n">
        <v>0</v>
      </c>
      <c r="F1147" t="n">
        <v>333</v>
      </c>
      <c r="G1147" t="n">
        <v>14803697.25</v>
      </c>
      <c r="H1147">
        <f>IFERROR(VLOOKUP(C1147,Lookups!$A$3:$C$7,3,FALSE),"UNMAPPED")</f>
        <v/>
      </c>
    </row>
    <row r="1148">
      <c r="A1148" s="5" t="n">
        <v>46081</v>
      </c>
      <c r="B1148" t="inlineStr">
        <is>
          <t>RO</t>
        </is>
      </c>
      <c r="C1148" t="inlineStr">
        <is>
          <t>PL_PREM</t>
        </is>
      </c>
      <c r="D1148" t="inlineStr">
        <is>
          <t>1-29</t>
        </is>
      </c>
      <c r="E1148" t="n">
        <v>1</v>
      </c>
      <c r="F1148" t="n">
        <v>11</v>
      </c>
      <c r="G1148" t="n">
        <v>543217.1899999999</v>
      </c>
      <c r="H1148">
        <f>IFERROR(VLOOKUP(C1148,Lookups!$A$3:$C$7,3,FALSE),"UNMAPPED")</f>
        <v/>
      </c>
    </row>
    <row r="1149">
      <c r="A1149" s="5" t="n">
        <v>46081</v>
      </c>
      <c r="B1149" t="inlineStr">
        <is>
          <t>RO</t>
        </is>
      </c>
      <c r="C1149" t="inlineStr">
        <is>
          <t>PL_PREM</t>
        </is>
      </c>
      <c r="D1149" t="inlineStr">
        <is>
          <t>30-59</t>
        </is>
      </c>
      <c r="E1149" t="n">
        <v>30</v>
      </c>
      <c r="F1149" t="n">
        <v>3</v>
      </c>
      <c r="G1149" t="n">
        <v>90797.94</v>
      </c>
      <c r="H1149">
        <f>IFERROR(VLOOKUP(C1149,Lookups!$A$3:$C$7,3,FALSE),"UNMAPPED")</f>
        <v/>
      </c>
    </row>
    <row r="1150">
      <c r="A1150" s="5" t="n">
        <v>46081</v>
      </c>
      <c r="B1150" t="inlineStr">
        <is>
          <t>RO</t>
        </is>
      </c>
      <c r="C1150" t="inlineStr">
        <is>
          <t>PL_PREM</t>
        </is>
      </c>
      <c r="D1150" t="inlineStr">
        <is>
          <t>60-89</t>
        </is>
      </c>
      <c r="E1150" t="n">
        <v>60</v>
      </c>
      <c r="F1150" t="n">
        <v>2</v>
      </c>
      <c r="G1150" t="n">
        <v>66577.06</v>
      </c>
      <c r="H1150">
        <f>IFERROR(VLOOKUP(C1150,Lookups!$A$3:$C$7,3,FALSE),"UNMAPPED")</f>
        <v/>
      </c>
    </row>
    <row r="1151">
      <c r="A1151" s="5" t="n">
        <v>46081</v>
      </c>
      <c r="B1151" t="inlineStr">
        <is>
          <t>RO</t>
        </is>
      </c>
      <c r="C1151" t="inlineStr">
        <is>
          <t>PL_PREM</t>
        </is>
      </c>
      <c r="D1151" t="inlineStr">
        <is>
          <t>90-179</t>
        </is>
      </c>
      <c r="E1151" t="n">
        <v>90</v>
      </c>
      <c r="F1151" t="n">
        <v>3</v>
      </c>
      <c r="G1151" t="n">
        <v>239741.28</v>
      </c>
      <c r="H1151">
        <f>IFERROR(VLOOKUP(C1151,Lookups!$A$3:$C$7,3,FALSE),"UNMAPPED")</f>
        <v/>
      </c>
    </row>
    <row r="1152">
      <c r="A1152" s="5" t="n">
        <v>46081</v>
      </c>
      <c r="B1152" t="inlineStr">
        <is>
          <t>RO</t>
        </is>
      </c>
      <c r="C1152" t="inlineStr">
        <is>
          <t>PL_STD</t>
        </is>
      </c>
      <c r="D1152" t="inlineStr">
        <is>
          <t>Current</t>
        </is>
      </c>
      <c r="E1152" t="n">
        <v>0</v>
      </c>
      <c r="F1152" t="n">
        <v>789</v>
      </c>
      <c r="G1152" t="n">
        <v>11000690.46</v>
      </c>
      <c r="H1152">
        <f>IFERROR(VLOOKUP(C1152,Lookups!$A$3:$C$7,3,FALSE),"UNMAPPED")</f>
        <v/>
      </c>
    </row>
    <row r="1153">
      <c r="A1153" s="5" t="n">
        <v>46081</v>
      </c>
      <c r="B1153" t="inlineStr">
        <is>
          <t>RO</t>
        </is>
      </c>
      <c r="C1153" t="inlineStr">
        <is>
          <t>PL_STD</t>
        </is>
      </c>
      <c r="D1153" t="inlineStr">
        <is>
          <t>1-29</t>
        </is>
      </c>
      <c r="E1153" t="n">
        <v>1</v>
      </c>
      <c r="F1153" t="n">
        <v>23</v>
      </c>
      <c r="G1153" t="n">
        <v>403931.45</v>
      </c>
      <c r="H1153">
        <f>IFERROR(VLOOKUP(C1153,Lookups!$A$3:$C$7,3,FALSE),"UNMAPPED")</f>
        <v/>
      </c>
    </row>
    <row r="1154">
      <c r="A1154" s="5" t="n">
        <v>46081</v>
      </c>
      <c r="B1154" t="inlineStr">
        <is>
          <t>RO</t>
        </is>
      </c>
      <c r="C1154" t="inlineStr">
        <is>
          <t>PL_STD</t>
        </is>
      </c>
      <c r="D1154" t="inlineStr">
        <is>
          <t>30-59</t>
        </is>
      </c>
      <c r="E1154" t="n">
        <v>30</v>
      </c>
      <c r="F1154" t="n">
        <v>15</v>
      </c>
      <c r="G1154" t="n">
        <v>175057.65</v>
      </c>
      <c r="H1154">
        <f>IFERROR(VLOOKUP(C1154,Lookups!$A$3:$C$7,3,FALSE),"UNMAPPED")</f>
        <v/>
      </c>
    </row>
    <row r="1155">
      <c r="A1155" s="5" t="n">
        <v>46081</v>
      </c>
      <c r="B1155" t="inlineStr">
        <is>
          <t>RO</t>
        </is>
      </c>
      <c r="C1155" t="inlineStr">
        <is>
          <t>PL_STD</t>
        </is>
      </c>
      <c r="D1155" t="inlineStr">
        <is>
          <t>60-89</t>
        </is>
      </c>
      <c r="E1155" t="n">
        <v>60</v>
      </c>
      <c r="F1155" t="n">
        <v>6</v>
      </c>
      <c r="G1155" t="n">
        <v>97919.39</v>
      </c>
      <c r="H1155">
        <f>IFERROR(VLOOKUP(C1155,Lookups!$A$3:$C$7,3,FALSE),"UNMAPPED")</f>
        <v/>
      </c>
    </row>
    <row r="1156">
      <c r="A1156" s="5" t="n">
        <v>46081</v>
      </c>
      <c r="B1156" t="inlineStr">
        <is>
          <t>RO</t>
        </is>
      </c>
      <c r="C1156" t="inlineStr">
        <is>
          <t>PL_STD</t>
        </is>
      </c>
      <c r="D1156" t="inlineStr">
        <is>
          <t>90-179</t>
        </is>
      </c>
      <c r="E1156" t="n">
        <v>90</v>
      </c>
      <c r="F1156" t="n">
        <v>10</v>
      </c>
      <c r="G1156" t="n">
        <v>225405.44</v>
      </c>
      <c r="H1156">
        <f>IFERROR(VLOOKUP(C1156,Lookups!$A$3:$C$7,3,FALSE),"UNMAPPED")</f>
        <v/>
      </c>
    </row>
    <row r="1157">
      <c r="A1157" s="5" t="n">
        <v>46112</v>
      </c>
      <c r="B1157" t="inlineStr">
        <is>
          <t>CZ</t>
        </is>
      </c>
      <c r="C1157" t="inlineStr">
        <is>
          <t>CC_CLASSIC</t>
        </is>
      </c>
      <c r="D1157" t="inlineStr">
        <is>
          <t>Current</t>
        </is>
      </c>
      <c r="E1157" t="n">
        <v>0</v>
      </c>
      <c r="F1157" t="n">
        <v>1460</v>
      </c>
      <c r="G1157" t="n">
        <v>24608108.86</v>
      </c>
      <c r="H1157">
        <f>IFERROR(VLOOKUP(C1157,Lookups!$A$3:$C$7,3,FALSE),"UNMAPPED")</f>
        <v/>
      </c>
    </row>
    <row r="1158">
      <c r="A1158" s="5" t="n">
        <v>46112</v>
      </c>
      <c r="B1158" t="inlineStr">
        <is>
          <t>CZ</t>
        </is>
      </c>
      <c r="C1158" t="inlineStr">
        <is>
          <t>CC_CLASSIC</t>
        </is>
      </c>
      <c r="D1158" t="inlineStr">
        <is>
          <t>1-29</t>
        </is>
      </c>
      <c r="E1158" t="n">
        <v>1</v>
      </c>
      <c r="F1158" t="n">
        <v>14</v>
      </c>
      <c r="G1158" t="n">
        <v>250164.67</v>
      </c>
      <c r="H1158">
        <f>IFERROR(VLOOKUP(C1158,Lookups!$A$3:$C$7,3,FALSE),"UNMAPPED")</f>
        <v/>
      </c>
    </row>
    <row r="1159">
      <c r="A1159" s="5" t="n">
        <v>46112</v>
      </c>
      <c r="B1159" t="inlineStr">
        <is>
          <t>CZ</t>
        </is>
      </c>
      <c r="C1159" t="inlineStr">
        <is>
          <t>CC_CLASSIC</t>
        </is>
      </c>
      <c r="D1159" t="inlineStr">
        <is>
          <t>30-59</t>
        </is>
      </c>
      <c r="E1159" t="n">
        <v>30</v>
      </c>
      <c r="F1159" t="n">
        <v>22</v>
      </c>
      <c r="G1159" t="n">
        <v>392312.35</v>
      </c>
      <c r="H1159">
        <f>IFERROR(VLOOKUP(C1159,Lookups!$A$3:$C$7,3,FALSE),"UNMAPPED")</f>
        <v/>
      </c>
    </row>
    <row r="1160">
      <c r="A1160" s="5" t="n">
        <v>46112</v>
      </c>
      <c r="B1160" t="inlineStr">
        <is>
          <t>CZ</t>
        </is>
      </c>
      <c r="C1160" t="inlineStr">
        <is>
          <t>CC_CLASSIC</t>
        </is>
      </c>
      <c r="D1160" t="inlineStr">
        <is>
          <t>60-89</t>
        </is>
      </c>
      <c r="E1160" t="n">
        <v>60</v>
      </c>
      <c r="F1160" t="n">
        <v>12</v>
      </c>
      <c r="G1160" t="n">
        <v>206335.4</v>
      </c>
      <c r="H1160">
        <f>IFERROR(VLOOKUP(C1160,Lookups!$A$3:$C$7,3,FALSE),"UNMAPPED")</f>
        <v/>
      </c>
    </row>
    <row r="1161">
      <c r="A1161" s="5" t="n">
        <v>46112</v>
      </c>
      <c r="B1161" t="inlineStr">
        <is>
          <t>CZ</t>
        </is>
      </c>
      <c r="C1161" t="inlineStr">
        <is>
          <t>CC_CLASSIC</t>
        </is>
      </c>
      <c r="D1161" t="inlineStr">
        <is>
          <t>90-179</t>
        </is>
      </c>
      <c r="E1161" t="n">
        <v>90</v>
      </c>
      <c r="F1161" t="n">
        <v>18</v>
      </c>
      <c r="G1161" t="n">
        <v>281427.15</v>
      </c>
      <c r="H1161">
        <f>IFERROR(VLOOKUP(C1161,Lookups!$A$3:$C$7,3,FALSE),"UNMAPPED")</f>
        <v/>
      </c>
    </row>
    <row r="1162">
      <c r="A1162" s="5" t="n">
        <v>46112</v>
      </c>
      <c r="B1162" t="inlineStr">
        <is>
          <t>CZ</t>
        </is>
      </c>
      <c r="C1162" t="inlineStr">
        <is>
          <t>CC_CONSOL</t>
        </is>
      </c>
      <c r="D1162" t="inlineStr">
        <is>
          <t>Current</t>
        </is>
      </c>
      <c r="E1162" t="n">
        <v>0</v>
      </c>
      <c r="F1162" t="n">
        <v>150</v>
      </c>
      <c r="G1162" t="n">
        <v>20785130.05</v>
      </c>
      <c r="H1162">
        <f>IFERROR(VLOOKUP(C1162,Lookups!$A$3:$C$7,3,FALSE),"UNMAPPED")</f>
        <v/>
      </c>
    </row>
    <row r="1163">
      <c r="A1163" s="5" t="n">
        <v>46112</v>
      </c>
      <c r="B1163" t="inlineStr">
        <is>
          <t>CZ</t>
        </is>
      </c>
      <c r="C1163" t="inlineStr">
        <is>
          <t>CC_CONSOL</t>
        </is>
      </c>
      <c r="D1163" t="inlineStr">
        <is>
          <t>1-29</t>
        </is>
      </c>
      <c r="E1163" t="n">
        <v>1</v>
      </c>
      <c r="F1163" t="n">
        <v>1</v>
      </c>
      <c r="G1163" t="n">
        <v>100709.01</v>
      </c>
      <c r="H1163">
        <f>IFERROR(VLOOKUP(C1163,Lookups!$A$3:$C$7,3,FALSE),"UNMAPPED")</f>
        <v/>
      </c>
    </row>
    <row r="1164">
      <c r="A1164" s="5" t="n">
        <v>46112</v>
      </c>
      <c r="B1164" t="inlineStr">
        <is>
          <t>CZ</t>
        </is>
      </c>
      <c r="C1164" t="inlineStr">
        <is>
          <t>CC_CONSOL</t>
        </is>
      </c>
      <c r="D1164" t="inlineStr">
        <is>
          <t>30-59</t>
        </is>
      </c>
      <c r="E1164" t="n">
        <v>30</v>
      </c>
      <c r="F1164" t="n">
        <v>2</v>
      </c>
      <c r="G1164" t="n">
        <v>191319.12</v>
      </c>
      <c r="H1164">
        <f>IFERROR(VLOOKUP(C1164,Lookups!$A$3:$C$7,3,FALSE),"UNMAPPED")</f>
        <v/>
      </c>
    </row>
    <row r="1165">
      <c r="A1165" s="5" t="n">
        <v>46112</v>
      </c>
      <c r="B1165" t="inlineStr">
        <is>
          <t>CZ</t>
        </is>
      </c>
      <c r="C1165" t="inlineStr">
        <is>
          <t>CC_CONSOL</t>
        </is>
      </c>
      <c r="D1165" t="inlineStr">
        <is>
          <t>60-89</t>
        </is>
      </c>
      <c r="E1165" t="n">
        <v>60</v>
      </c>
      <c r="F1165" t="n">
        <v>1</v>
      </c>
      <c r="G1165" t="n">
        <v>113477.43</v>
      </c>
      <c r="H1165">
        <f>IFERROR(VLOOKUP(C1165,Lookups!$A$3:$C$7,3,FALSE),"UNMAPPED")</f>
        <v/>
      </c>
    </row>
    <row r="1166">
      <c r="A1166" s="5" t="n">
        <v>46112</v>
      </c>
      <c r="B1166" t="inlineStr">
        <is>
          <t>CZ</t>
        </is>
      </c>
      <c r="C1166" t="inlineStr">
        <is>
          <t>CC_CONSOL</t>
        </is>
      </c>
      <c r="D1166" t="inlineStr">
        <is>
          <t>90-179</t>
        </is>
      </c>
      <c r="E1166" t="n">
        <v>90</v>
      </c>
      <c r="F1166" t="n">
        <v>1</v>
      </c>
      <c r="G1166" t="n">
        <v>200173.46</v>
      </c>
      <c r="H1166">
        <f>IFERROR(VLOOKUP(C1166,Lookups!$A$3:$C$7,3,FALSE),"UNMAPPED")</f>
        <v/>
      </c>
    </row>
    <row r="1167">
      <c r="A1167" s="5" t="n">
        <v>46112</v>
      </c>
      <c r="B1167" t="inlineStr">
        <is>
          <t>CZ</t>
        </is>
      </c>
      <c r="C1167" t="inlineStr">
        <is>
          <t>CC_GOLD</t>
        </is>
      </c>
      <c r="D1167" t="inlineStr">
        <is>
          <t>Current</t>
        </is>
      </c>
      <c r="E1167" t="n">
        <v>0</v>
      </c>
      <c r="F1167" t="n">
        <v>400</v>
      </c>
      <c r="G1167" t="n">
        <v>24016818.55</v>
      </c>
      <c r="H1167">
        <f>IFERROR(VLOOKUP(C1167,Lookups!$A$3:$C$7,3,FALSE),"UNMAPPED")</f>
        <v/>
      </c>
    </row>
    <row r="1168">
      <c r="A1168" s="5" t="n">
        <v>46112</v>
      </c>
      <c r="B1168" t="inlineStr">
        <is>
          <t>CZ</t>
        </is>
      </c>
      <c r="C1168" t="inlineStr">
        <is>
          <t>CC_GOLD</t>
        </is>
      </c>
      <c r="D1168" t="inlineStr">
        <is>
          <t>1-29</t>
        </is>
      </c>
      <c r="E1168" t="n">
        <v>1</v>
      </c>
      <c r="F1168" t="n">
        <v>8</v>
      </c>
      <c r="G1168" t="n">
        <v>695557.0699999999</v>
      </c>
      <c r="H1168">
        <f>IFERROR(VLOOKUP(C1168,Lookups!$A$3:$C$7,3,FALSE),"UNMAPPED")</f>
        <v/>
      </c>
    </row>
    <row r="1169">
      <c r="A1169" s="5" t="n">
        <v>46112</v>
      </c>
      <c r="B1169" t="inlineStr">
        <is>
          <t>CZ</t>
        </is>
      </c>
      <c r="C1169" t="inlineStr">
        <is>
          <t>CC_GOLD</t>
        </is>
      </c>
      <c r="D1169" t="inlineStr">
        <is>
          <t>30-59</t>
        </is>
      </c>
      <c r="E1169" t="n">
        <v>30</v>
      </c>
      <c r="F1169" t="n">
        <v>2</v>
      </c>
      <c r="G1169" t="n">
        <v>113691.66</v>
      </c>
      <c r="H1169">
        <f>IFERROR(VLOOKUP(C1169,Lookups!$A$3:$C$7,3,FALSE),"UNMAPPED")</f>
        <v/>
      </c>
    </row>
    <row r="1170">
      <c r="A1170" s="5" t="n">
        <v>46112</v>
      </c>
      <c r="B1170" t="inlineStr">
        <is>
          <t>CZ</t>
        </is>
      </c>
      <c r="C1170" t="inlineStr">
        <is>
          <t>CC_GOLD</t>
        </is>
      </c>
      <c r="D1170" t="inlineStr">
        <is>
          <t>60-89</t>
        </is>
      </c>
      <c r="E1170" t="n">
        <v>60</v>
      </c>
      <c r="F1170" t="n">
        <v>1</v>
      </c>
      <c r="G1170" t="n">
        <v>122054.35</v>
      </c>
      <c r="H1170">
        <f>IFERROR(VLOOKUP(C1170,Lookups!$A$3:$C$7,3,FALSE),"UNMAPPED")</f>
        <v/>
      </c>
    </row>
    <row r="1171">
      <c r="A1171" s="5" t="n">
        <v>46112</v>
      </c>
      <c r="B1171" t="inlineStr">
        <is>
          <t>CZ</t>
        </is>
      </c>
      <c r="C1171" t="inlineStr">
        <is>
          <t>CC_GOLD</t>
        </is>
      </c>
      <c r="D1171" t="inlineStr">
        <is>
          <t>90-179</t>
        </is>
      </c>
      <c r="E1171" t="n">
        <v>90</v>
      </c>
      <c r="F1171" t="n">
        <v>1</v>
      </c>
      <c r="G1171" t="n">
        <v>131894.95</v>
      </c>
      <c r="H1171">
        <f>IFERROR(VLOOKUP(C1171,Lookups!$A$3:$C$7,3,FALSE),"UNMAPPED")</f>
        <v/>
      </c>
    </row>
    <row r="1172">
      <c r="A1172" s="5" t="n">
        <v>46112</v>
      </c>
      <c r="B1172" t="inlineStr">
        <is>
          <t>CZ</t>
        </is>
      </c>
      <c r="C1172" t="inlineStr">
        <is>
          <t>PL_PREM</t>
        </is>
      </c>
      <c r="D1172" t="inlineStr">
        <is>
          <t>Current</t>
        </is>
      </c>
      <c r="E1172" t="n">
        <v>0</v>
      </c>
      <c r="F1172" t="n">
        <v>384</v>
      </c>
      <c r="G1172" t="n">
        <v>82577854.19</v>
      </c>
      <c r="H1172">
        <f>IFERROR(VLOOKUP(C1172,Lookups!$A$3:$C$7,3,FALSE),"UNMAPPED")</f>
        <v/>
      </c>
    </row>
    <row r="1173">
      <c r="A1173" s="5" t="n">
        <v>46112</v>
      </c>
      <c r="B1173" t="inlineStr">
        <is>
          <t>CZ</t>
        </is>
      </c>
      <c r="C1173" t="inlineStr">
        <is>
          <t>PL_PREM</t>
        </is>
      </c>
      <c r="D1173" t="inlineStr">
        <is>
          <t>1-29</t>
        </is>
      </c>
      <c r="E1173" t="n">
        <v>1</v>
      </c>
      <c r="F1173" t="n">
        <v>4</v>
      </c>
      <c r="G1173" t="n">
        <v>865273.53</v>
      </c>
      <c r="H1173">
        <f>IFERROR(VLOOKUP(C1173,Lookups!$A$3:$C$7,3,FALSE),"UNMAPPED")</f>
        <v/>
      </c>
    </row>
    <row r="1174">
      <c r="A1174" s="5" t="n">
        <v>46112</v>
      </c>
      <c r="B1174" t="inlineStr">
        <is>
          <t>CZ</t>
        </is>
      </c>
      <c r="C1174" t="inlineStr">
        <is>
          <t>PL_PREM</t>
        </is>
      </c>
      <c r="D1174" t="inlineStr">
        <is>
          <t>30-59</t>
        </is>
      </c>
      <c r="E1174" t="n">
        <v>30</v>
      </c>
      <c r="F1174" t="n">
        <v>6</v>
      </c>
      <c r="G1174" t="n">
        <v>1561458.58</v>
      </c>
      <c r="H1174">
        <f>IFERROR(VLOOKUP(C1174,Lookups!$A$3:$C$7,3,FALSE),"UNMAPPED")</f>
        <v/>
      </c>
    </row>
    <row r="1175">
      <c r="A1175" s="5" t="n">
        <v>46112</v>
      </c>
      <c r="B1175" t="inlineStr">
        <is>
          <t>CZ</t>
        </is>
      </c>
      <c r="C1175" t="inlineStr">
        <is>
          <t>PL_PREM</t>
        </is>
      </c>
      <c r="D1175" t="inlineStr">
        <is>
          <t>90-179</t>
        </is>
      </c>
      <c r="E1175" t="n">
        <v>90</v>
      </c>
      <c r="F1175" t="n">
        <v>5</v>
      </c>
      <c r="G1175" t="n">
        <v>959375.14</v>
      </c>
      <c r="H1175">
        <f>IFERROR(VLOOKUP(C1175,Lookups!$A$3:$C$7,3,FALSE),"UNMAPPED")</f>
        <v/>
      </c>
    </row>
    <row r="1176">
      <c r="A1176" s="5" t="n">
        <v>46112</v>
      </c>
      <c r="B1176" t="inlineStr">
        <is>
          <t>CZ</t>
        </is>
      </c>
      <c r="C1176" t="inlineStr">
        <is>
          <t>PL_STD</t>
        </is>
      </c>
      <c r="D1176" t="inlineStr">
        <is>
          <t>Current</t>
        </is>
      </c>
      <c r="E1176" t="n">
        <v>0</v>
      </c>
      <c r="F1176" t="n">
        <v>920</v>
      </c>
      <c r="G1176" t="n">
        <v>59748419.99</v>
      </c>
      <c r="H1176">
        <f>IFERROR(VLOOKUP(C1176,Lookups!$A$3:$C$7,3,FALSE),"UNMAPPED")</f>
        <v/>
      </c>
    </row>
    <row r="1177">
      <c r="A1177" s="5" t="n">
        <v>46112</v>
      </c>
      <c r="B1177" t="inlineStr">
        <is>
          <t>CZ</t>
        </is>
      </c>
      <c r="C1177" t="inlineStr">
        <is>
          <t>PL_STD</t>
        </is>
      </c>
      <c r="D1177" t="inlineStr">
        <is>
          <t>1-29</t>
        </is>
      </c>
      <c r="E1177" t="n">
        <v>1</v>
      </c>
      <c r="F1177" t="n">
        <v>14</v>
      </c>
      <c r="G1177" t="n">
        <v>807609.55</v>
      </c>
      <c r="H1177">
        <f>IFERROR(VLOOKUP(C1177,Lookups!$A$3:$C$7,3,FALSE),"UNMAPPED")</f>
        <v/>
      </c>
    </row>
    <row r="1178">
      <c r="A1178" s="5" t="n">
        <v>46112</v>
      </c>
      <c r="B1178" t="inlineStr">
        <is>
          <t>CZ</t>
        </is>
      </c>
      <c r="C1178" t="inlineStr">
        <is>
          <t>PL_STD</t>
        </is>
      </c>
      <c r="D1178" t="inlineStr">
        <is>
          <t>30-59</t>
        </is>
      </c>
      <c r="E1178" t="n">
        <v>30</v>
      </c>
      <c r="F1178" t="n">
        <v>10</v>
      </c>
      <c r="G1178" t="n">
        <v>645385.9300000001</v>
      </c>
      <c r="H1178">
        <f>IFERROR(VLOOKUP(C1178,Lookups!$A$3:$C$7,3,FALSE),"UNMAPPED")</f>
        <v/>
      </c>
    </row>
    <row r="1179">
      <c r="A1179" s="5" t="n">
        <v>46112</v>
      </c>
      <c r="B1179" t="inlineStr">
        <is>
          <t>CZ</t>
        </is>
      </c>
      <c r="C1179" t="inlineStr">
        <is>
          <t>PL_STD</t>
        </is>
      </c>
      <c r="D1179" t="inlineStr">
        <is>
          <t>60-89</t>
        </is>
      </c>
      <c r="E1179" t="n">
        <v>60</v>
      </c>
      <c r="F1179" t="n">
        <v>4</v>
      </c>
      <c r="G1179" t="n">
        <v>410003.14</v>
      </c>
      <c r="H1179">
        <f>IFERROR(VLOOKUP(C1179,Lookups!$A$3:$C$7,3,FALSE),"UNMAPPED")</f>
        <v/>
      </c>
    </row>
    <row r="1180">
      <c r="A1180" s="5" t="n">
        <v>46112</v>
      </c>
      <c r="B1180" t="inlineStr">
        <is>
          <t>CZ</t>
        </is>
      </c>
      <c r="C1180" t="inlineStr">
        <is>
          <t>PL_STD</t>
        </is>
      </c>
      <c r="D1180" t="inlineStr">
        <is>
          <t>90-179</t>
        </is>
      </c>
      <c r="E1180" t="n">
        <v>90</v>
      </c>
      <c r="F1180" t="n">
        <v>11</v>
      </c>
      <c r="G1180" t="n">
        <v>957334</v>
      </c>
      <c r="H1180">
        <f>IFERROR(VLOOKUP(C1180,Lookups!$A$3:$C$7,3,FALSE),"UNMAPPED")</f>
        <v/>
      </c>
    </row>
    <row r="1181">
      <c r="A1181" s="5" t="n">
        <v>46112</v>
      </c>
      <c r="B1181" t="inlineStr">
        <is>
          <t>PL</t>
        </is>
      </c>
      <c r="C1181" t="inlineStr">
        <is>
          <t>CC_CLASSIC</t>
        </is>
      </c>
      <c r="D1181" t="inlineStr">
        <is>
          <t>Current</t>
        </is>
      </c>
      <c r="E1181" t="n">
        <v>0</v>
      </c>
      <c r="F1181" t="n">
        <v>1946</v>
      </c>
      <c r="G1181" t="n">
        <v>5646642.91</v>
      </c>
      <c r="H1181">
        <f>IFERROR(VLOOKUP(C1181,Lookups!$A$3:$C$7,3,FALSE),"UNMAPPED")</f>
        <v/>
      </c>
    </row>
    <row r="1182">
      <c r="A1182" s="5" t="n">
        <v>46112</v>
      </c>
      <c r="B1182" t="inlineStr">
        <is>
          <t>PL</t>
        </is>
      </c>
      <c r="C1182" t="inlineStr">
        <is>
          <t>CC_CLASSIC</t>
        </is>
      </c>
      <c r="D1182" t="inlineStr">
        <is>
          <t>1-29</t>
        </is>
      </c>
      <c r="E1182" t="n">
        <v>1</v>
      </c>
      <c r="F1182" t="n">
        <v>27</v>
      </c>
      <c r="G1182" t="n">
        <v>90262.14</v>
      </c>
      <c r="H1182">
        <f>IFERROR(VLOOKUP(C1182,Lookups!$A$3:$C$7,3,FALSE),"UNMAPPED")</f>
        <v/>
      </c>
    </row>
    <row r="1183">
      <c r="A1183" s="5" t="n">
        <v>46112</v>
      </c>
      <c r="B1183" t="inlineStr">
        <is>
          <t>PL</t>
        </is>
      </c>
      <c r="C1183" t="inlineStr">
        <is>
          <t>CC_CLASSIC</t>
        </is>
      </c>
      <c r="D1183" t="inlineStr">
        <is>
          <t>30-59</t>
        </is>
      </c>
      <c r="E1183" t="n">
        <v>30</v>
      </c>
      <c r="F1183" t="n">
        <v>22</v>
      </c>
      <c r="G1183" t="n">
        <v>70801.49000000001</v>
      </c>
      <c r="H1183">
        <f>IFERROR(VLOOKUP(C1183,Lookups!$A$3:$C$7,3,FALSE),"UNMAPPED")</f>
        <v/>
      </c>
    </row>
    <row r="1184">
      <c r="A1184" s="5" t="n">
        <v>46112</v>
      </c>
      <c r="B1184" t="inlineStr">
        <is>
          <t>PL</t>
        </is>
      </c>
      <c r="C1184" t="inlineStr">
        <is>
          <t>CC_CLASSIC</t>
        </is>
      </c>
      <c r="D1184" t="inlineStr">
        <is>
          <t>60-89</t>
        </is>
      </c>
      <c r="E1184" t="n">
        <v>60</v>
      </c>
      <c r="F1184" t="n">
        <v>13</v>
      </c>
      <c r="G1184" t="n">
        <v>61499.29</v>
      </c>
      <c r="H1184">
        <f>IFERROR(VLOOKUP(C1184,Lookups!$A$3:$C$7,3,FALSE),"UNMAPPED")</f>
        <v/>
      </c>
    </row>
    <row r="1185">
      <c r="A1185" s="5" t="n">
        <v>46112</v>
      </c>
      <c r="B1185" t="inlineStr">
        <is>
          <t>PL</t>
        </is>
      </c>
      <c r="C1185" t="inlineStr">
        <is>
          <t>CC_CLASSIC</t>
        </is>
      </c>
      <c r="D1185" t="inlineStr">
        <is>
          <t>90-179</t>
        </is>
      </c>
      <c r="E1185" t="n">
        <v>90</v>
      </c>
      <c r="F1185" t="n">
        <v>29</v>
      </c>
      <c r="G1185" t="n">
        <v>90078.25</v>
      </c>
      <c r="H1185">
        <f>IFERROR(VLOOKUP(C1185,Lookups!$A$3:$C$7,3,FALSE),"UNMAPPED")</f>
        <v/>
      </c>
    </row>
    <row r="1186">
      <c r="A1186" s="5" t="n">
        <v>46112</v>
      </c>
      <c r="B1186" t="inlineStr">
        <is>
          <t>PL</t>
        </is>
      </c>
      <c r="C1186" t="inlineStr">
        <is>
          <t>CC_CONSOL</t>
        </is>
      </c>
      <c r="D1186" t="inlineStr">
        <is>
          <t>Current</t>
        </is>
      </c>
      <c r="E1186" t="n">
        <v>0</v>
      </c>
      <c r="F1186" t="n">
        <v>190</v>
      </c>
      <c r="G1186" t="n">
        <v>5005421.98</v>
      </c>
      <c r="H1186">
        <f>IFERROR(VLOOKUP(C1186,Lookups!$A$3:$C$7,3,FALSE),"UNMAPPED")</f>
        <v/>
      </c>
    </row>
    <row r="1187">
      <c r="A1187" s="5" t="n">
        <v>46112</v>
      </c>
      <c r="B1187" t="inlineStr">
        <is>
          <t>PL</t>
        </is>
      </c>
      <c r="C1187" t="inlineStr">
        <is>
          <t>CC_CONSOL</t>
        </is>
      </c>
      <c r="D1187" t="inlineStr">
        <is>
          <t>1-29</t>
        </is>
      </c>
      <c r="E1187" t="n">
        <v>1</v>
      </c>
      <c r="F1187" t="n">
        <v>4</v>
      </c>
      <c r="G1187" t="n">
        <v>140629.58</v>
      </c>
      <c r="H1187">
        <f>IFERROR(VLOOKUP(C1187,Lookups!$A$3:$C$7,3,FALSE),"UNMAPPED")</f>
        <v/>
      </c>
    </row>
    <row r="1188">
      <c r="A1188" s="5" t="n">
        <v>46112</v>
      </c>
      <c r="B1188" t="inlineStr">
        <is>
          <t>PL</t>
        </is>
      </c>
      <c r="C1188" t="inlineStr">
        <is>
          <t>CC_CONSOL</t>
        </is>
      </c>
      <c r="D1188" t="inlineStr">
        <is>
          <t>60-89</t>
        </is>
      </c>
      <c r="E1188" t="n">
        <v>60</v>
      </c>
      <c r="F1188" t="n">
        <v>2</v>
      </c>
      <c r="G1188" t="n">
        <v>72779.41</v>
      </c>
      <c r="H1188">
        <f>IFERROR(VLOOKUP(C1188,Lookups!$A$3:$C$7,3,FALSE),"UNMAPPED")</f>
        <v/>
      </c>
    </row>
    <row r="1189">
      <c r="A1189" s="5" t="n">
        <v>46112</v>
      </c>
      <c r="B1189" t="inlineStr">
        <is>
          <t>PL</t>
        </is>
      </c>
      <c r="C1189" t="inlineStr">
        <is>
          <t>CC_CONSOL</t>
        </is>
      </c>
      <c r="D1189" t="inlineStr">
        <is>
          <t>90-179</t>
        </is>
      </c>
      <c r="E1189" t="n">
        <v>90</v>
      </c>
      <c r="F1189" t="n">
        <v>4</v>
      </c>
      <c r="G1189" t="n">
        <v>102985.52</v>
      </c>
      <c r="H1189">
        <f>IFERROR(VLOOKUP(C1189,Lookups!$A$3:$C$7,3,FALSE),"UNMAPPED")</f>
        <v/>
      </c>
    </row>
    <row r="1190">
      <c r="A1190" s="5" t="n">
        <v>46112</v>
      </c>
      <c r="B1190" t="inlineStr">
        <is>
          <t>PL</t>
        </is>
      </c>
      <c r="C1190" t="inlineStr">
        <is>
          <t>CC_GOLD</t>
        </is>
      </c>
      <c r="D1190" t="inlineStr">
        <is>
          <t>Current</t>
        </is>
      </c>
      <c r="E1190" t="n">
        <v>0</v>
      </c>
      <c r="F1190" t="n">
        <v>565</v>
      </c>
      <c r="G1190" t="n">
        <v>5741726.76</v>
      </c>
      <c r="H1190">
        <f>IFERROR(VLOOKUP(C1190,Lookups!$A$3:$C$7,3,FALSE),"UNMAPPED")</f>
        <v/>
      </c>
    </row>
    <row r="1191">
      <c r="A1191" s="5" t="n">
        <v>46112</v>
      </c>
      <c r="B1191" t="inlineStr">
        <is>
          <t>PL</t>
        </is>
      </c>
      <c r="C1191" t="inlineStr">
        <is>
          <t>CC_GOLD</t>
        </is>
      </c>
      <c r="D1191" t="inlineStr">
        <is>
          <t>1-29</t>
        </is>
      </c>
      <c r="E1191" t="n">
        <v>1</v>
      </c>
      <c r="F1191" t="n">
        <v>6</v>
      </c>
      <c r="G1191" t="n">
        <v>78601.41</v>
      </c>
      <c r="H1191">
        <f>IFERROR(VLOOKUP(C1191,Lookups!$A$3:$C$7,3,FALSE),"UNMAPPED")</f>
        <v/>
      </c>
    </row>
    <row r="1192">
      <c r="A1192" s="5" t="n">
        <v>46112</v>
      </c>
      <c r="B1192" t="inlineStr">
        <is>
          <t>PL</t>
        </is>
      </c>
      <c r="C1192" t="inlineStr">
        <is>
          <t>CC_GOLD</t>
        </is>
      </c>
      <c r="D1192" t="inlineStr">
        <is>
          <t>30-59</t>
        </is>
      </c>
      <c r="E1192" t="n">
        <v>30</v>
      </c>
      <c r="F1192" t="n">
        <v>4</v>
      </c>
      <c r="G1192" t="n">
        <v>62939.53</v>
      </c>
      <c r="H1192">
        <f>IFERROR(VLOOKUP(C1192,Lookups!$A$3:$C$7,3,FALSE),"UNMAPPED")</f>
        <v/>
      </c>
    </row>
    <row r="1193">
      <c r="A1193" s="5" t="n">
        <v>46112</v>
      </c>
      <c r="B1193" t="inlineStr">
        <is>
          <t>PL</t>
        </is>
      </c>
      <c r="C1193" t="inlineStr">
        <is>
          <t>CC_GOLD</t>
        </is>
      </c>
      <c r="D1193" t="inlineStr">
        <is>
          <t>60-89</t>
        </is>
      </c>
      <c r="E1193" t="n">
        <v>60</v>
      </c>
      <c r="F1193" t="n">
        <v>3</v>
      </c>
      <c r="G1193" t="n">
        <v>37715.7</v>
      </c>
      <c r="H1193">
        <f>IFERROR(VLOOKUP(C1193,Lookups!$A$3:$C$7,3,FALSE),"UNMAPPED")</f>
        <v/>
      </c>
    </row>
    <row r="1194">
      <c r="A1194" s="5" t="n">
        <v>46112</v>
      </c>
      <c r="B1194" t="inlineStr">
        <is>
          <t>PL</t>
        </is>
      </c>
      <c r="C1194" t="inlineStr">
        <is>
          <t>CC_GOLD</t>
        </is>
      </c>
      <c r="D1194" t="inlineStr">
        <is>
          <t>90-179</t>
        </is>
      </c>
      <c r="E1194" t="n">
        <v>90</v>
      </c>
      <c r="F1194" t="n">
        <v>11</v>
      </c>
      <c r="G1194" t="n">
        <v>199260.68</v>
      </c>
      <c r="H1194">
        <f>IFERROR(VLOOKUP(C1194,Lookups!$A$3:$C$7,3,FALSE),"UNMAPPED")</f>
        <v/>
      </c>
    </row>
    <row r="1195">
      <c r="A1195" s="5" t="n">
        <v>46112</v>
      </c>
      <c r="B1195" t="inlineStr">
        <is>
          <t>PL</t>
        </is>
      </c>
      <c r="C1195" t="inlineStr">
        <is>
          <t>PL_PREM</t>
        </is>
      </c>
      <c r="D1195" t="inlineStr">
        <is>
          <t>Current</t>
        </is>
      </c>
      <c r="E1195" t="n">
        <v>0</v>
      </c>
      <c r="F1195" t="n">
        <v>588</v>
      </c>
      <c r="G1195" t="n">
        <v>22076129.61</v>
      </c>
      <c r="H1195">
        <f>IFERROR(VLOOKUP(C1195,Lookups!$A$3:$C$7,3,FALSE),"UNMAPPED")</f>
        <v/>
      </c>
    </row>
    <row r="1196">
      <c r="A1196" s="5" t="n">
        <v>46112</v>
      </c>
      <c r="B1196" t="inlineStr">
        <is>
          <t>PL</t>
        </is>
      </c>
      <c r="C1196" t="inlineStr">
        <is>
          <t>PL_PREM</t>
        </is>
      </c>
      <c r="D1196" t="inlineStr">
        <is>
          <t>1-29</t>
        </is>
      </c>
      <c r="E1196" t="n">
        <v>1</v>
      </c>
      <c r="F1196" t="n">
        <v>11</v>
      </c>
      <c r="G1196" t="n">
        <v>261895.39</v>
      </c>
      <c r="H1196">
        <f>IFERROR(VLOOKUP(C1196,Lookups!$A$3:$C$7,3,FALSE),"UNMAPPED")</f>
        <v/>
      </c>
    </row>
    <row r="1197">
      <c r="A1197" s="5" t="n">
        <v>46112</v>
      </c>
      <c r="B1197" t="inlineStr">
        <is>
          <t>PL</t>
        </is>
      </c>
      <c r="C1197" t="inlineStr">
        <is>
          <t>PL_PREM</t>
        </is>
      </c>
      <c r="D1197" t="inlineStr">
        <is>
          <t>30-59</t>
        </is>
      </c>
      <c r="E1197" t="n">
        <v>30</v>
      </c>
      <c r="F1197" t="n">
        <v>5</v>
      </c>
      <c r="G1197" t="n">
        <v>206122.59</v>
      </c>
      <c r="H1197">
        <f>IFERROR(VLOOKUP(C1197,Lookups!$A$3:$C$7,3,FALSE),"UNMAPPED")</f>
        <v/>
      </c>
    </row>
    <row r="1198">
      <c r="A1198" s="5" t="n">
        <v>46112</v>
      </c>
      <c r="B1198" t="inlineStr">
        <is>
          <t>PL</t>
        </is>
      </c>
      <c r="C1198" t="inlineStr">
        <is>
          <t>PL_PREM</t>
        </is>
      </c>
      <c r="D1198" t="inlineStr">
        <is>
          <t>60-89</t>
        </is>
      </c>
      <c r="E1198" t="n">
        <v>60</v>
      </c>
      <c r="F1198" t="n">
        <v>8</v>
      </c>
      <c r="G1198" t="n">
        <v>328378.18</v>
      </c>
      <c r="H1198">
        <f>IFERROR(VLOOKUP(C1198,Lookups!$A$3:$C$7,3,FALSE),"UNMAPPED")</f>
        <v/>
      </c>
    </row>
    <row r="1199">
      <c r="A1199" s="5" t="n">
        <v>46112</v>
      </c>
      <c r="B1199" t="inlineStr">
        <is>
          <t>PL</t>
        </is>
      </c>
      <c r="C1199" t="inlineStr">
        <is>
          <t>PL_PREM</t>
        </is>
      </c>
      <c r="D1199" t="inlineStr">
        <is>
          <t>90-179</t>
        </is>
      </c>
      <c r="E1199" t="n">
        <v>90</v>
      </c>
      <c r="F1199" t="n">
        <v>8</v>
      </c>
      <c r="G1199" t="n">
        <v>402108.67</v>
      </c>
      <c r="H1199">
        <f>IFERROR(VLOOKUP(C1199,Lookups!$A$3:$C$7,3,FALSE),"UNMAPPED")</f>
        <v/>
      </c>
    </row>
    <row r="1200">
      <c r="A1200" s="5" t="n">
        <v>46112</v>
      </c>
      <c r="B1200" t="inlineStr">
        <is>
          <t>PL</t>
        </is>
      </c>
      <c r="C1200" t="inlineStr">
        <is>
          <t>PL_STD</t>
        </is>
      </c>
      <c r="D1200" t="inlineStr">
        <is>
          <t>Current</t>
        </is>
      </c>
      <c r="E1200" t="n">
        <v>0</v>
      </c>
      <c r="F1200" t="n">
        <v>1185</v>
      </c>
      <c r="G1200" t="n">
        <v>13143277.69</v>
      </c>
      <c r="H1200">
        <f>IFERROR(VLOOKUP(C1200,Lookups!$A$3:$C$7,3,FALSE),"UNMAPPED")</f>
        <v/>
      </c>
    </row>
    <row r="1201">
      <c r="A1201" s="5" t="n">
        <v>46112</v>
      </c>
      <c r="B1201" t="inlineStr">
        <is>
          <t>PL</t>
        </is>
      </c>
      <c r="C1201" t="inlineStr">
        <is>
          <t>PL_STD</t>
        </is>
      </c>
      <c r="D1201" t="inlineStr">
        <is>
          <t>1-29</t>
        </is>
      </c>
      <c r="E1201" t="n">
        <v>1</v>
      </c>
      <c r="F1201" t="n">
        <v>17</v>
      </c>
      <c r="G1201" t="n">
        <v>163270.1</v>
      </c>
      <c r="H1201">
        <f>IFERROR(VLOOKUP(C1201,Lookups!$A$3:$C$7,3,FALSE),"UNMAPPED")</f>
        <v/>
      </c>
    </row>
    <row r="1202">
      <c r="A1202" s="5" t="n">
        <v>46112</v>
      </c>
      <c r="B1202" t="inlineStr">
        <is>
          <t>PL</t>
        </is>
      </c>
      <c r="C1202" t="inlineStr">
        <is>
          <t>PL_STD</t>
        </is>
      </c>
      <c r="D1202" t="inlineStr">
        <is>
          <t>30-59</t>
        </is>
      </c>
      <c r="E1202" t="n">
        <v>30</v>
      </c>
      <c r="F1202" t="n">
        <v>15</v>
      </c>
      <c r="G1202" t="n">
        <v>168984.86</v>
      </c>
      <c r="H1202">
        <f>IFERROR(VLOOKUP(C1202,Lookups!$A$3:$C$7,3,FALSE),"UNMAPPED")</f>
        <v/>
      </c>
    </row>
    <row r="1203">
      <c r="A1203" s="5" t="n">
        <v>46112</v>
      </c>
      <c r="B1203" t="inlineStr">
        <is>
          <t>PL</t>
        </is>
      </c>
      <c r="C1203" t="inlineStr">
        <is>
          <t>PL_STD</t>
        </is>
      </c>
      <c r="D1203" t="inlineStr">
        <is>
          <t>60-89</t>
        </is>
      </c>
      <c r="E1203" t="n">
        <v>60</v>
      </c>
      <c r="F1203" t="n">
        <v>16</v>
      </c>
      <c r="G1203" t="n">
        <v>189253.68</v>
      </c>
      <c r="H1203">
        <f>IFERROR(VLOOKUP(C1203,Lookups!$A$3:$C$7,3,FALSE),"UNMAPPED")</f>
        <v/>
      </c>
    </row>
    <row r="1204">
      <c r="A1204" s="5" t="n">
        <v>46112</v>
      </c>
      <c r="B1204" t="inlineStr">
        <is>
          <t>PL</t>
        </is>
      </c>
      <c r="C1204" t="inlineStr">
        <is>
          <t>PL_STD</t>
        </is>
      </c>
      <c r="D1204" t="inlineStr">
        <is>
          <t>90-179</t>
        </is>
      </c>
      <c r="E1204" t="n">
        <v>90</v>
      </c>
      <c r="F1204" t="n">
        <v>21</v>
      </c>
      <c r="G1204" t="n">
        <v>309432.3</v>
      </c>
      <c r="H1204">
        <f>IFERROR(VLOOKUP(C1204,Lookups!$A$3:$C$7,3,FALSE),"UNMAPPED")</f>
        <v/>
      </c>
    </row>
    <row r="1205">
      <c r="A1205" s="5" t="n">
        <v>46112</v>
      </c>
      <c r="B1205" t="inlineStr">
        <is>
          <t>RO</t>
        </is>
      </c>
      <c r="C1205" t="inlineStr">
        <is>
          <t>CC_CLASSIC</t>
        </is>
      </c>
      <c r="D1205" t="inlineStr">
        <is>
          <t>Current</t>
        </is>
      </c>
      <c r="E1205" t="n">
        <v>0</v>
      </c>
      <c r="F1205" t="n">
        <v>1108</v>
      </c>
      <c r="G1205" t="n">
        <v>3862128.93</v>
      </c>
      <c r="H1205">
        <f>IFERROR(VLOOKUP(C1205,Lookups!$A$3:$C$7,3,FALSE),"UNMAPPED")</f>
        <v/>
      </c>
    </row>
    <row r="1206">
      <c r="A1206" s="5" t="n">
        <v>46112</v>
      </c>
      <c r="B1206" t="inlineStr">
        <is>
          <t>RO</t>
        </is>
      </c>
      <c r="C1206" t="inlineStr">
        <is>
          <t>CC_CLASSIC</t>
        </is>
      </c>
      <c r="D1206" t="inlineStr">
        <is>
          <t>1-29</t>
        </is>
      </c>
      <c r="E1206" t="n">
        <v>1</v>
      </c>
      <c r="F1206" t="n">
        <v>18</v>
      </c>
      <c r="G1206" t="n">
        <v>66722.3</v>
      </c>
      <c r="H1206">
        <f>IFERROR(VLOOKUP(C1206,Lookups!$A$3:$C$7,3,FALSE),"UNMAPPED")</f>
        <v/>
      </c>
    </row>
    <row r="1207">
      <c r="A1207" s="5" t="n">
        <v>46112</v>
      </c>
      <c r="B1207" t="inlineStr">
        <is>
          <t>RO</t>
        </is>
      </c>
      <c r="C1207" t="inlineStr">
        <is>
          <t>CC_CLASSIC</t>
        </is>
      </c>
      <c r="D1207" t="inlineStr">
        <is>
          <t>30-59</t>
        </is>
      </c>
      <c r="E1207" t="n">
        <v>30</v>
      </c>
      <c r="F1207" t="n">
        <v>10</v>
      </c>
      <c r="G1207" t="n">
        <v>34492.07</v>
      </c>
      <c r="H1207">
        <f>IFERROR(VLOOKUP(C1207,Lookups!$A$3:$C$7,3,FALSE),"UNMAPPED")</f>
        <v/>
      </c>
    </row>
    <row r="1208">
      <c r="A1208" s="5" t="n">
        <v>46112</v>
      </c>
      <c r="B1208" t="inlineStr">
        <is>
          <t>RO</t>
        </is>
      </c>
      <c r="C1208" t="inlineStr">
        <is>
          <t>CC_CLASSIC</t>
        </is>
      </c>
      <c r="D1208" t="inlineStr">
        <is>
          <t>60-89</t>
        </is>
      </c>
      <c r="E1208" t="n">
        <v>60</v>
      </c>
      <c r="F1208" t="n">
        <v>15</v>
      </c>
      <c r="G1208" t="n">
        <v>58825.01</v>
      </c>
      <c r="H1208">
        <f>IFERROR(VLOOKUP(C1208,Lookups!$A$3:$C$7,3,FALSE),"UNMAPPED")</f>
        <v/>
      </c>
    </row>
    <row r="1209">
      <c r="A1209" s="5" t="n">
        <v>46112</v>
      </c>
      <c r="B1209" t="inlineStr">
        <is>
          <t>RO</t>
        </is>
      </c>
      <c r="C1209" t="inlineStr">
        <is>
          <t>CC_CLASSIC</t>
        </is>
      </c>
      <c r="D1209" t="inlineStr">
        <is>
          <t>90-179</t>
        </is>
      </c>
      <c r="E1209" t="n">
        <v>90</v>
      </c>
      <c r="F1209" t="n">
        <v>14</v>
      </c>
      <c r="G1209" t="n">
        <v>68989.63</v>
      </c>
      <c r="H1209">
        <f>IFERROR(VLOOKUP(C1209,Lookups!$A$3:$C$7,3,FALSE),"UNMAPPED")</f>
        <v/>
      </c>
    </row>
    <row r="1210">
      <c r="A1210" s="5" t="n">
        <v>46112</v>
      </c>
      <c r="B1210" t="inlineStr">
        <is>
          <t>RO</t>
        </is>
      </c>
      <c r="C1210" t="inlineStr">
        <is>
          <t>CC_CONSOL</t>
        </is>
      </c>
      <c r="D1210" t="inlineStr">
        <is>
          <t>Current</t>
        </is>
      </c>
      <c r="E1210" t="n">
        <v>0</v>
      </c>
      <c r="F1210" t="n">
        <v>108</v>
      </c>
      <c r="G1210" t="n">
        <v>3222834.46</v>
      </c>
      <c r="H1210">
        <f>IFERROR(VLOOKUP(C1210,Lookups!$A$3:$C$7,3,FALSE),"UNMAPPED")</f>
        <v/>
      </c>
    </row>
    <row r="1211">
      <c r="A1211" s="5" t="n">
        <v>46112</v>
      </c>
      <c r="B1211" t="inlineStr">
        <is>
          <t>RO</t>
        </is>
      </c>
      <c r="C1211" t="inlineStr">
        <is>
          <t>CC_CONSOL</t>
        </is>
      </c>
      <c r="D1211" t="inlineStr">
        <is>
          <t>1-29</t>
        </is>
      </c>
      <c r="E1211" t="n">
        <v>1</v>
      </c>
      <c r="F1211" t="n">
        <v>2</v>
      </c>
      <c r="G1211" t="n">
        <v>80104.24000000001</v>
      </c>
      <c r="H1211">
        <f>IFERROR(VLOOKUP(C1211,Lookups!$A$3:$C$7,3,FALSE),"UNMAPPED")</f>
        <v/>
      </c>
    </row>
    <row r="1212">
      <c r="A1212" s="5" t="n">
        <v>46112</v>
      </c>
      <c r="B1212" t="inlineStr">
        <is>
          <t>RO</t>
        </is>
      </c>
      <c r="C1212" t="inlineStr">
        <is>
          <t>CC_CONSOL</t>
        </is>
      </c>
      <c r="D1212" t="inlineStr">
        <is>
          <t>60-89</t>
        </is>
      </c>
      <c r="E1212" t="n">
        <v>60</v>
      </c>
      <c r="F1212" t="n">
        <v>1</v>
      </c>
      <c r="G1212" t="n">
        <v>43119.17</v>
      </c>
      <c r="H1212">
        <f>IFERROR(VLOOKUP(C1212,Lookups!$A$3:$C$7,3,FALSE),"UNMAPPED")</f>
        <v/>
      </c>
    </row>
    <row r="1213">
      <c r="A1213" s="5" t="n">
        <v>46112</v>
      </c>
      <c r="B1213" t="inlineStr">
        <is>
          <t>RO</t>
        </is>
      </c>
      <c r="C1213" t="inlineStr">
        <is>
          <t>CC_CONSOL</t>
        </is>
      </c>
      <c r="D1213" t="inlineStr">
        <is>
          <t>90-179</t>
        </is>
      </c>
      <c r="E1213" t="n">
        <v>90</v>
      </c>
      <c r="F1213" t="n">
        <v>4</v>
      </c>
      <c r="G1213" t="n">
        <v>132753.69</v>
      </c>
      <c r="H1213">
        <f>IFERROR(VLOOKUP(C1213,Lookups!$A$3:$C$7,3,FALSE),"UNMAPPED")</f>
        <v/>
      </c>
    </row>
    <row r="1214">
      <c r="A1214" s="5" t="n">
        <v>46112</v>
      </c>
      <c r="B1214" t="inlineStr">
        <is>
          <t>RO</t>
        </is>
      </c>
      <c r="C1214" t="inlineStr">
        <is>
          <t>CC_GOLD</t>
        </is>
      </c>
      <c r="D1214" t="inlineStr">
        <is>
          <t>Current</t>
        </is>
      </c>
      <c r="E1214" t="n">
        <v>0</v>
      </c>
      <c r="F1214" t="n">
        <v>322</v>
      </c>
      <c r="G1214" t="n">
        <v>3547468.24</v>
      </c>
      <c r="H1214">
        <f>IFERROR(VLOOKUP(C1214,Lookups!$A$3:$C$7,3,FALSE),"UNMAPPED")</f>
        <v/>
      </c>
    </row>
    <row r="1215">
      <c r="A1215" s="5" t="n">
        <v>46112</v>
      </c>
      <c r="B1215" t="inlineStr">
        <is>
          <t>RO</t>
        </is>
      </c>
      <c r="C1215" t="inlineStr">
        <is>
          <t>CC_GOLD</t>
        </is>
      </c>
      <c r="D1215" t="inlineStr">
        <is>
          <t>1-29</t>
        </is>
      </c>
      <c r="E1215" t="n">
        <v>1</v>
      </c>
      <c r="F1215" t="n">
        <v>5</v>
      </c>
      <c r="G1215" t="n">
        <v>68523.03999999999</v>
      </c>
      <c r="H1215">
        <f>IFERROR(VLOOKUP(C1215,Lookups!$A$3:$C$7,3,FALSE),"UNMAPPED")</f>
        <v/>
      </c>
    </row>
    <row r="1216">
      <c r="A1216" s="5" t="n">
        <v>46112</v>
      </c>
      <c r="B1216" t="inlineStr">
        <is>
          <t>RO</t>
        </is>
      </c>
      <c r="C1216" t="inlineStr">
        <is>
          <t>CC_GOLD</t>
        </is>
      </c>
      <c r="D1216" t="inlineStr">
        <is>
          <t>30-59</t>
        </is>
      </c>
      <c r="E1216" t="n">
        <v>30</v>
      </c>
      <c r="F1216" t="n">
        <v>4</v>
      </c>
      <c r="G1216" t="n">
        <v>28471.68</v>
      </c>
      <c r="H1216">
        <f>IFERROR(VLOOKUP(C1216,Lookups!$A$3:$C$7,3,FALSE),"UNMAPPED")</f>
        <v/>
      </c>
    </row>
    <row r="1217">
      <c r="A1217" s="5" t="n">
        <v>46112</v>
      </c>
      <c r="B1217" t="inlineStr">
        <is>
          <t>RO</t>
        </is>
      </c>
      <c r="C1217" t="inlineStr">
        <is>
          <t>CC_GOLD</t>
        </is>
      </c>
      <c r="D1217" t="inlineStr">
        <is>
          <t>60-89</t>
        </is>
      </c>
      <c r="E1217" t="n">
        <v>60</v>
      </c>
      <c r="F1217" t="n">
        <v>1</v>
      </c>
      <c r="G1217" t="n">
        <v>29152.54</v>
      </c>
      <c r="H1217">
        <f>IFERROR(VLOOKUP(C1217,Lookups!$A$3:$C$7,3,FALSE),"UNMAPPED")</f>
        <v/>
      </c>
    </row>
    <row r="1218">
      <c r="A1218" s="5" t="n">
        <v>46112</v>
      </c>
      <c r="B1218" t="inlineStr">
        <is>
          <t>RO</t>
        </is>
      </c>
      <c r="C1218" t="inlineStr">
        <is>
          <t>CC_GOLD</t>
        </is>
      </c>
      <c r="D1218" t="inlineStr">
        <is>
          <t>90-179</t>
        </is>
      </c>
      <c r="E1218" t="n">
        <v>90</v>
      </c>
      <c r="F1218" t="n">
        <v>8</v>
      </c>
      <c r="G1218" t="n">
        <v>76253.28</v>
      </c>
      <c r="H1218">
        <f>IFERROR(VLOOKUP(C1218,Lookups!$A$3:$C$7,3,FALSE),"UNMAPPED")</f>
        <v/>
      </c>
    </row>
    <row r="1219">
      <c r="A1219" s="5" t="n">
        <v>46112</v>
      </c>
      <c r="B1219" t="inlineStr">
        <is>
          <t>RO</t>
        </is>
      </c>
      <c r="C1219" t="inlineStr">
        <is>
          <t>PL_PREM</t>
        </is>
      </c>
      <c r="D1219" t="inlineStr">
        <is>
          <t>Current</t>
        </is>
      </c>
      <c r="E1219" t="n">
        <v>0</v>
      </c>
      <c r="F1219" t="n">
        <v>331</v>
      </c>
      <c r="G1219" t="n">
        <v>14672341.06</v>
      </c>
      <c r="H1219">
        <f>IFERROR(VLOOKUP(C1219,Lookups!$A$3:$C$7,3,FALSE),"UNMAPPED")</f>
        <v/>
      </c>
    </row>
    <row r="1220">
      <c r="A1220" s="5" t="n">
        <v>46112</v>
      </c>
      <c r="B1220" t="inlineStr">
        <is>
          <t>RO</t>
        </is>
      </c>
      <c r="C1220" t="inlineStr">
        <is>
          <t>PL_PREM</t>
        </is>
      </c>
      <c r="D1220" t="inlineStr">
        <is>
          <t>1-29</t>
        </is>
      </c>
      <c r="E1220" t="n">
        <v>1</v>
      </c>
      <c r="F1220" t="n">
        <v>10</v>
      </c>
      <c r="G1220" t="n">
        <v>495647.52</v>
      </c>
      <c r="H1220">
        <f>IFERROR(VLOOKUP(C1220,Lookups!$A$3:$C$7,3,FALSE),"UNMAPPED")</f>
        <v/>
      </c>
    </row>
    <row r="1221">
      <c r="A1221" s="5" t="n">
        <v>46112</v>
      </c>
      <c r="B1221" t="inlineStr">
        <is>
          <t>RO</t>
        </is>
      </c>
      <c r="C1221" t="inlineStr">
        <is>
          <t>PL_PREM</t>
        </is>
      </c>
      <c r="D1221" t="inlineStr">
        <is>
          <t>30-59</t>
        </is>
      </c>
      <c r="E1221" t="n">
        <v>30</v>
      </c>
      <c r="F1221" t="n">
        <v>4</v>
      </c>
      <c r="G1221" t="n">
        <v>130407.85</v>
      </c>
      <c r="H1221">
        <f>IFERROR(VLOOKUP(C1221,Lookups!$A$3:$C$7,3,FALSE),"UNMAPPED")</f>
        <v/>
      </c>
    </row>
    <row r="1222">
      <c r="A1222" s="5" t="n">
        <v>46112</v>
      </c>
      <c r="B1222" t="inlineStr">
        <is>
          <t>RO</t>
        </is>
      </c>
      <c r="C1222" t="inlineStr">
        <is>
          <t>PL_PREM</t>
        </is>
      </c>
      <c r="D1222" t="inlineStr">
        <is>
          <t>60-89</t>
        </is>
      </c>
      <c r="E1222" t="n">
        <v>60</v>
      </c>
      <c r="F1222" t="n">
        <v>1</v>
      </c>
      <c r="G1222" t="n">
        <v>59944.46</v>
      </c>
      <c r="H1222">
        <f>IFERROR(VLOOKUP(C1222,Lookups!$A$3:$C$7,3,FALSE),"UNMAPPED")</f>
        <v/>
      </c>
    </row>
    <row r="1223">
      <c r="A1223" s="5" t="n">
        <v>46112</v>
      </c>
      <c r="B1223" t="inlineStr">
        <is>
          <t>RO</t>
        </is>
      </c>
      <c r="C1223" t="inlineStr">
        <is>
          <t>PL_PREM</t>
        </is>
      </c>
      <c r="D1223" t="inlineStr">
        <is>
          <t>90-179</t>
        </is>
      </c>
      <c r="E1223" t="n">
        <v>90</v>
      </c>
      <c r="F1223" t="n">
        <v>4</v>
      </c>
      <c r="G1223" t="n">
        <v>262899.17</v>
      </c>
      <c r="H1223">
        <f>IFERROR(VLOOKUP(C1223,Lookups!$A$3:$C$7,3,FALSE),"UNMAPPED")</f>
        <v/>
      </c>
    </row>
    <row r="1224">
      <c r="A1224" s="5" t="n">
        <v>46112</v>
      </c>
      <c r="B1224" t="inlineStr">
        <is>
          <t>RO</t>
        </is>
      </c>
      <c r="C1224" t="inlineStr">
        <is>
          <t>PL_STD</t>
        </is>
      </c>
      <c r="D1224" t="inlineStr">
        <is>
          <t>Current</t>
        </is>
      </c>
      <c r="E1224" t="n">
        <v>0</v>
      </c>
      <c r="F1224" t="n">
        <v>778</v>
      </c>
      <c r="G1224" t="n">
        <v>10797327.95</v>
      </c>
      <c r="H1224">
        <f>IFERROR(VLOOKUP(C1224,Lookups!$A$3:$C$7,3,FALSE),"UNMAPPED")</f>
        <v/>
      </c>
    </row>
    <row r="1225">
      <c r="A1225" s="5" t="n">
        <v>46112</v>
      </c>
      <c r="B1225" t="inlineStr">
        <is>
          <t>RO</t>
        </is>
      </c>
      <c r="C1225" t="inlineStr">
        <is>
          <t>PL_STD</t>
        </is>
      </c>
      <c r="D1225" t="inlineStr">
        <is>
          <t>1-29</t>
        </is>
      </c>
      <c r="E1225" t="n">
        <v>1</v>
      </c>
      <c r="F1225" t="n">
        <v>15</v>
      </c>
      <c r="G1225" t="n">
        <v>262467.91</v>
      </c>
      <c r="H1225">
        <f>IFERROR(VLOOKUP(C1225,Lookups!$A$3:$C$7,3,FALSE),"UNMAPPED")</f>
        <v/>
      </c>
    </row>
    <row r="1226">
      <c r="A1226" s="5" t="n">
        <v>46112</v>
      </c>
      <c r="B1226" t="inlineStr">
        <is>
          <t>RO</t>
        </is>
      </c>
      <c r="C1226" t="inlineStr">
        <is>
          <t>PL_STD</t>
        </is>
      </c>
      <c r="D1226" t="inlineStr">
        <is>
          <t>30-59</t>
        </is>
      </c>
      <c r="E1226" t="n">
        <v>30</v>
      </c>
      <c r="F1226" t="n">
        <v>17</v>
      </c>
      <c r="G1226" t="n">
        <v>265304.64</v>
      </c>
      <c r="H1226">
        <f>IFERROR(VLOOKUP(C1226,Lookups!$A$3:$C$7,3,FALSE),"UNMAPPED")</f>
        <v/>
      </c>
    </row>
    <row r="1227">
      <c r="A1227" s="5" t="n">
        <v>46112</v>
      </c>
      <c r="B1227" t="inlineStr">
        <is>
          <t>RO</t>
        </is>
      </c>
      <c r="C1227" t="inlineStr">
        <is>
          <t>PL_STD</t>
        </is>
      </c>
      <c r="D1227" t="inlineStr">
        <is>
          <t>60-89</t>
        </is>
      </c>
      <c r="E1227" t="n">
        <v>60</v>
      </c>
      <c r="F1227" t="n">
        <v>8</v>
      </c>
      <c r="G1227" t="n">
        <v>95923.46000000001</v>
      </c>
      <c r="H1227">
        <f>IFERROR(VLOOKUP(C1227,Lookups!$A$3:$C$7,3,FALSE),"UNMAPPED")</f>
        <v/>
      </c>
    </row>
    <row r="1228">
      <c r="A1228" s="5" t="n">
        <v>46112</v>
      </c>
      <c r="B1228" t="inlineStr">
        <is>
          <t>RO</t>
        </is>
      </c>
      <c r="C1228" t="inlineStr">
        <is>
          <t>PL_STD</t>
        </is>
      </c>
      <c r="D1228" t="inlineStr">
        <is>
          <t>90-179</t>
        </is>
      </c>
      <c r="E1228" t="n">
        <v>90</v>
      </c>
      <c r="F1228" t="n">
        <v>11</v>
      </c>
      <c r="G1228" t="n">
        <v>214729.52</v>
      </c>
      <c r="H1228">
        <f>IFERROR(VLOOKUP(C1228,Lookups!$A$3:$C$7,3,FALSE),"UNMAPPED")</f>
        <v/>
      </c>
    </row>
    <row r="1229">
      <c r="A1229" s="5" t="n">
        <v>46142</v>
      </c>
      <c r="B1229" t="inlineStr">
        <is>
          <t>CZ</t>
        </is>
      </c>
      <c r="C1229" t="inlineStr">
        <is>
          <t>CC_CLASSIC</t>
        </is>
      </c>
      <c r="D1229" t="inlineStr">
        <is>
          <t>Current</t>
        </is>
      </c>
      <c r="E1229" t="n">
        <v>0</v>
      </c>
      <c r="F1229" t="n">
        <v>1514</v>
      </c>
      <c r="G1229" t="n">
        <v>25580284.18</v>
      </c>
      <c r="H1229">
        <f>IFERROR(VLOOKUP(C1229,Lookups!$A$3:$C$7,3,FALSE),"UNMAPPED")</f>
        <v/>
      </c>
    </row>
    <row r="1230">
      <c r="A1230" s="5" t="n">
        <v>46142</v>
      </c>
      <c r="B1230" t="inlineStr">
        <is>
          <t>CZ</t>
        </is>
      </c>
      <c r="C1230" t="inlineStr">
        <is>
          <t>CC_CLASSIC</t>
        </is>
      </c>
      <c r="D1230" t="inlineStr">
        <is>
          <t>1-29</t>
        </is>
      </c>
      <c r="E1230" t="n">
        <v>1</v>
      </c>
      <c r="F1230" t="n">
        <v>12</v>
      </c>
      <c r="G1230" t="n">
        <v>283203.11</v>
      </c>
      <c r="H1230">
        <f>IFERROR(VLOOKUP(C1230,Lookups!$A$3:$C$7,3,FALSE),"UNMAPPED")</f>
        <v/>
      </c>
    </row>
    <row r="1231">
      <c r="A1231" s="5" t="n">
        <v>46142</v>
      </c>
      <c r="B1231" t="inlineStr">
        <is>
          <t>CZ</t>
        </is>
      </c>
      <c r="C1231" t="inlineStr">
        <is>
          <t>CC_CLASSIC</t>
        </is>
      </c>
      <c r="D1231" t="inlineStr">
        <is>
          <t>30-59</t>
        </is>
      </c>
      <c r="E1231" t="n">
        <v>30</v>
      </c>
      <c r="F1231" t="n">
        <v>8</v>
      </c>
      <c r="G1231" t="n">
        <v>133850.76</v>
      </c>
      <c r="H1231">
        <f>IFERROR(VLOOKUP(C1231,Lookups!$A$3:$C$7,3,FALSE),"UNMAPPED")</f>
        <v/>
      </c>
    </row>
    <row r="1232">
      <c r="A1232" s="5" t="n">
        <v>46142</v>
      </c>
      <c r="B1232" t="inlineStr">
        <is>
          <t>CZ</t>
        </is>
      </c>
      <c r="C1232" t="inlineStr">
        <is>
          <t>CC_CLASSIC</t>
        </is>
      </c>
      <c r="D1232" t="inlineStr">
        <is>
          <t>60-89</t>
        </is>
      </c>
      <c r="E1232" t="n">
        <v>60</v>
      </c>
      <c r="F1232" t="n">
        <v>16</v>
      </c>
      <c r="G1232" t="n">
        <v>250216.31</v>
      </c>
      <c r="H1232">
        <f>IFERROR(VLOOKUP(C1232,Lookups!$A$3:$C$7,3,FALSE),"UNMAPPED")</f>
        <v/>
      </c>
    </row>
    <row r="1233">
      <c r="A1233" s="5" t="n">
        <v>46142</v>
      </c>
      <c r="B1233" t="inlineStr">
        <is>
          <t>CZ</t>
        </is>
      </c>
      <c r="C1233" t="inlineStr">
        <is>
          <t>CC_CLASSIC</t>
        </is>
      </c>
      <c r="D1233" t="inlineStr">
        <is>
          <t>90-179</t>
        </is>
      </c>
      <c r="E1233" t="n">
        <v>90</v>
      </c>
      <c r="F1233" t="n">
        <v>25</v>
      </c>
      <c r="G1233" t="n">
        <v>389204.31</v>
      </c>
      <c r="H1233">
        <f>IFERROR(VLOOKUP(C1233,Lookups!$A$3:$C$7,3,FALSE),"UNMAPPED")</f>
        <v/>
      </c>
    </row>
    <row r="1234">
      <c r="A1234" s="5" t="n">
        <v>46142</v>
      </c>
      <c r="B1234" t="inlineStr">
        <is>
          <t>CZ</t>
        </is>
      </c>
      <c r="C1234" t="inlineStr">
        <is>
          <t>CC_CONSOL</t>
        </is>
      </c>
      <c r="D1234" t="inlineStr">
        <is>
          <t>Current</t>
        </is>
      </c>
      <c r="E1234" t="n">
        <v>0</v>
      </c>
      <c r="F1234" t="n">
        <v>155</v>
      </c>
      <c r="G1234" t="n">
        <v>20973722.95</v>
      </c>
      <c r="H1234">
        <f>IFERROR(VLOOKUP(C1234,Lookups!$A$3:$C$7,3,FALSE),"UNMAPPED")</f>
        <v/>
      </c>
    </row>
    <row r="1235">
      <c r="A1235" s="5" t="n">
        <v>46142</v>
      </c>
      <c r="B1235" t="inlineStr">
        <is>
          <t>CZ</t>
        </is>
      </c>
      <c r="C1235" t="inlineStr">
        <is>
          <t>CC_CONSOL</t>
        </is>
      </c>
      <c r="D1235" t="inlineStr">
        <is>
          <t>1-29</t>
        </is>
      </c>
      <c r="E1235" t="n">
        <v>1</v>
      </c>
      <c r="F1235" t="n">
        <v>1</v>
      </c>
      <c r="G1235" t="n">
        <v>205694.27</v>
      </c>
      <c r="H1235">
        <f>IFERROR(VLOOKUP(C1235,Lookups!$A$3:$C$7,3,FALSE),"UNMAPPED")</f>
        <v/>
      </c>
    </row>
    <row r="1236">
      <c r="A1236" s="5" t="n">
        <v>46142</v>
      </c>
      <c r="B1236" t="inlineStr">
        <is>
          <t>CZ</t>
        </is>
      </c>
      <c r="C1236" t="inlineStr">
        <is>
          <t>CC_CONSOL</t>
        </is>
      </c>
      <c r="D1236" t="inlineStr">
        <is>
          <t>30-59</t>
        </is>
      </c>
      <c r="E1236" t="n">
        <v>30</v>
      </c>
      <c r="F1236" t="n">
        <v>1</v>
      </c>
      <c r="G1236" t="n">
        <v>101723.6</v>
      </c>
      <c r="H1236">
        <f>IFERROR(VLOOKUP(C1236,Lookups!$A$3:$C$7,3,FALSE),"UNMAPPED")</f>
        <v/>
      </c>
    </row>
    <row r="1237">
      <c r="A1237" s="5" t="n">
        <v>46142</v>
      </c>
      <c r="B1237" t="inlineStr">
        <is>
          <t>CZ</t>
        </is>
      </c>
      <c r="C1237" t="inlineStr">
        <is>
          <t>CC_CONSOL</t>
        </is>
      </c>
      <c r="D1237" t="inlineStr">
        <is>
          <t>60-89</t>
        </is>
      </c>
      <c r="E1237" t="n">
        <v>60</v>
      </c>
      <c r="F1237" t="n">
        <v>1</v>
      </c>
      <c r="G1237" t="n">
        <v>85426.31</v>
      </c>
      <c r="H1237">
        <f>IFERROR(VLOOKUP(C1237,Lookups!$A$3:$C$7,3,FALSE),"UNMAPPED")</f>
        <v/>
      </c>
    </row>
    <row r="1238">
      <c r="A1238" s="5" t="n">
        <v>46142</v>
      </c>
      <c r="B1238" t="inlineStr">
        <is>
          <t>CZ</t>
        </is>
      </c>
      <c r="C1238" t="inlineStr">
        <is>
          <t>CC_CONSOL</t>
        </is>
      </c>
      <c r="D1238" t="inlineStr">
        <is>
          <t>90-179</t>
        </is>
      </c>
      <c r="E1238" t="n">
        <v>90</v>
      </c>
      <c r="F1238" t="n">
        <v>2</v>
      </c>
      <c r="G1238" t="n">
        <v>316761.27</v>
      </c>
      <c r="H1238">
        <f>IFERROR(VLOOKUP(C1238,Lookups!$A$3:$C$7,3,FALSE),"UNMAPPED")</f>
        <v/>
      </c>
    </row>
    <row r="1239">
      <c r="A1239" s="5" t="n">
        <v>46142</v>
      </c>
      <c r="B1239" t="inlineStr">
        <is>
          <t>CZ</t>
        </is>
      </c>
      <c r="C1239" t="inlineStr">
        <is>
          <t>CC_GOLD</t>
        </is>
      </c>
      <c r="D1239" t="inlineStr">
        <is>
          <t>Current</t>
        </is>
      </c>
      <c r="E1239" t="n">
        <v>0</v>
      </c>
      <c r="F1239" t="n">
        <v>417</v>
      </c>
      <c r="G1239" t="n">
        <v>24354132.2</v>
      </c>
      <c r="H1239">
        <f>IFERROR(VLOOKUP(C1239,Lookups!$A$3:$C$7,3,FALSE),"UNMAPPED")</f>
        <v/>
      </c>
    </row>
    <row r="1240">
      <c r="A1240" s="5" t="n">
        <v>46142</v>
      </c>
      <c r="B1240" t="inlineStr">
        <is>
          <t>CZ</t>
        </is>
      </c>
      <c r="C1240" t="inlineStr">
        <is>
          <t>CC_GOLD</t>
        </is>
      </c>
      <c r="D1240" t="inlineStr">
        <is>
          <t>1-29</t>
        </is>
      </c>
      <c r="E1240" t="n">
        <v>1</v>
      </c>
      <c r="F1240" t="n">
        <v>2</v>
      </c>
      <c r="G1240" t="n">
        <v>250970.36</v>
      </c>
      <c r="H1240">
        <f>IFERROR(VLOOKUP(C1240,Lookups!$A$3:$C$7,3,FALSE),"UNMAPPED")</f>
        <v/>
      </c>
    </row>
    <row r="1241">
      <c r="A1241" s="5" t="n">
        <v>46142</v>
      </c>
      <c r="B1241" t="inlineStr">
        <is>
          <t>CZ</t>
        </is>
      </c>
      <c r="C1241" t="inlineStr">
        <is>
          <t>CC_GOLD</t>
        </is>
      </c>
      <c r="D1241" t="inlineStr">
        <is>
          <t>30-59</t>
        </is>
      </c>
      <c r="E1241" t="n">
        <v>30</v>
      </c>
      <c r="F1241" t="n">
        <v>6</v>
      </c>
      <c r="G1241" t="n">
        <v>534245.48</v>
      </c>
      <c r="H1241">
        <f>IFERROR(VLOOKUP(C1241,Lookups!$A$3:$C$7,3,FALSE),"UNMAPPED")</f>
        <v/>
      </c>
    </row>
    <row r="1242">
      <c r="A1242" s="5" t="n">
        <v>46142</v>
      </c>
      <c r="B1242" t="inlineStr">
        <is>
          <t>CZ</t>
        </is>
      </c>
      <c r="C1242" t="inlineStr">
        <is>
          <t>CC_GOLD</t>
        </is>
      </c>
      <c r="D1242" t="inlineStr">
        <is>
          <t>60-89</t>
        </is>
      </c>
      <c r="E1242" t="n">
        <v>60</v>
      </c>
      <c r="F1242" t="n">
        <v>2</v>
      </c>
      <c r="G1242" t="n">
        <v>115577.04</v>
      </c>
      <c r="H1242">
        <f>IFERROR(VLOOKUP(C1242,Lookups!$A$3:$C$7,3,FALSE),"UNMAPPED")</f>
        <v/>
      </c>
    </row>
    <row r="1243">
      <c r="A1243" s="5" t="n">
        <v>46142</v>
      </c>
      <c r="B1243" t="inlineStr">
        <is>
          <t>CZ</t>
        </is>
      </c>
      <c r="C1243" t="inlineStr">
        <is>
          <t>CC_GOLD</t>
        </is>
      </c>
      <c r="D1243" t="inlineStr">
        <is>
          <t>90-179</t>
        </is>
      </c>
      <c r="E1243" t="n">
        <v>90</v>
      </c>
      <c r="F1243" t="n">
        <v>1</v>
      </c>
      <c r="G1243" t="n">
        <v>124078.41</v>
      </c>
      <c r="H1243">
        <f>IFERROR(VLOOKUP(C1243,Lookups!$A$3:$C$7,3,FALSE),"UNMAPPED")</f>
        <v/>
      </c>
    </row>
    <row r="1244">
      <c r="A1244" s="5" t="n">
        <v>46142</v>
      </c>
      <c r="B1244" t="inlineStr">
        <is>
          <t>CZ</t>
        </is>
      </c>
      <c r="C1244" t="inlineStr">
        <is>
          <t>PL_PREM</t>
        </is>
      </c>
      <c r="D1244" t="inlineStr">
        <is>
          <t>Current</t>
        </is>
      </c>
      <c r="E1244" t="n">
        <v>0</v>
      </c>
      <c r="F1244" t="n">
        <v>387</v>
      </c>
      <c r="G1244" t="n">
        <v>82495843.56999999</v>
      </c>
      <c r="H1244">
        <f>IFERROR(VLOOKUP(C1244,Lookups!$A$3:$C$7,3,FALSE),"UNMAPPED")</f>
        <v/>
      </c>
    </row>
    <row r="1245">
      <c r="A1245" s="5" t="n">
        <v>46142</v>
      </c>
      <c r="B1245" t="inlineStr">
        <is>
          <t>CZ</t>
        </is>
      </c>
      <c r="C1245" t="inlineStr">
        <is>
          <t>PL_PREM</t>
        </is>
      </c>
      <c r="D1245" t="inlineStr">
        <is>
          <t>1-29</t>
        </is>
      </c>
      <c r="E1245" t="n">
        <v>1</v>
      </c>
      <c r="F1245" t="n">
        <v>6</v>
      </c>
      <c r="G1245" t="n">
        <v>1366642.31</v>
      </c>
      <c r="H1245">
        <f>IFERROR(VLOOKUP(C1245,Lookups!$A$3:$C$7,3,FALSE),"UNMAPPED")</f>
        <v/>
      </c>
    </row>
    <row r="1246">
      <c r="A1246" s="5" t="n">
        <v>46142</v>
      </c>
      <c r="B1246" t="inlineStr">
        <is>
          <t>CZ</t>
        </is>
      </c>
      <c r="C1246" t="inlineStr">
        <is>
          <t>PL_PREM</t>
        </is>
      </c>
      <c r="D1246" t="inlineStr">
        <is>
          <t>30-59</t>
        </is>
      </c>
      <c r="E1246" t="n">
        <v>30</v>
      </c>
      <c r="F1246" t="n">
        <v>1</v>
      </c>
      <c r="G1246" t="n">
        <v>185917.09</v>
      </c>
      <c r="H1246">
        <f>IFERROR(VLOOKUP(C1246,Lookups!$A$3:$C$7,3,FALSE),"UNMAPPED")</f>
        <v/>
      </c>
    </row>
    <row r="1247">
      <c r="A1247" s="5" t="n">
        <v>46142</v>
      </c>
      <c r="B1247" t="inlineStr">
        <is>
          <t>CZ</t>
        </is>
      </c>
      <c r="C1247" t="inlineStr">
        <is>
          <t>PL_PREM</t>
        </is>
      </c>
      <c r="D1247" t="inlineStr">
        <is>
          <t>60-89</t>
        </is>
      </c>
      <c r="E1247" t="n">
        <v>60</v>
      </c>
      <c r="F1247" t="n">
        <v>4</v>
      </c>
      <c r="G1247" t="n">
        <v>1196573.13</v>
      </c>
      <c r="H1247">
        <f>IFERROR(VLOOKUP(C1247,Lookups!$A$3:$C$7,3,FALSE),"UNMAPPED")</f>
        <v/>
      </c>
    </row>
    <row r="1248">
      <c r="A1248" s="5" t="n">
        <v>46142</v>
      </c>
      <c r="B1248" t="inlineStr">
        <is>
          <t>CZ</t>
        </is>
      </c>
      <c r="C1248" t="inlineStr">
        <is>
          <t>PL_PREM</t>
        </is>
      </c>
      <c r="D1248" t="inlineStr">
        <is>
          <t>90-179</t>
        </is>
      </c>
      <c r="E1248" t="n">
        <v>90</v>
      </c>
      <c r="F1248" t="n">
        <v>4</v>
      </c>
      <c r="G1248" t="n">
        <v>662767.9300000001</v>
      </c>
      <c r="H1248">
        <f>IFERROR(VLOOKUP(C1248,Lookups!$A$3:$C$7,3,FALSE),"UNMAPPED")</f>
        <v/>
      </c>
    </row>
    <row r="1249">
      <c r="A1249" s="5" t="n">
        <v>46142</v>
      </c>
      <c r="B1249" t="inlineStr">
        <is>
          <t>CZ</t>
        </is>
      </c>
      <c r="C1249" t="inlineStr">
        <is>
          <t>PL_STD</t>
        </is>
      </c>
      <c r="D1249" t="inlineStr">
        <is>
          <t>Current</t>
        </is>
      </c>
      <c r="E1249" t="n">
        <v>0</v>
      </c>
      <c r="F1249" t="n">
        <v>926</v>
      </c>
      <c r="G1249" t="n">
        <v>60551571.43</v>
      </c>
      <c r="H1249">
        <f>IFERROR(VLOOKUP(C1249,Lookups!$A$3:$C$7,3,FALSE),"UNMAPPED")</f>
        <v/>
      </c>
    </row>
    <row r="1250">
      <c r="A1250" s="5" t="n">
        <v>46142</v>
      </c>
      <c r="B1250" t="inlineStr">
        <is>
          <t>CZ</t>
        </is>
      </c>
      <c r="C1250" t="inlineStr">
        <is>
          <t>PL_STD</t>
        </is>
      </c>
      <c r="D1250" t="inlineStr">
        <is>
          <t>1-29</t>
        </is>
      </c>
      <c r="E1250" t="n">
        <v>1</v>
      </c>
      <c r="F1250" t="n">
        <v>12</v>
      </c>
      <c r="G1250" t="n">
        <v>864936.87</v>
      </c>
      <c r="H1250">
        <f>IFERROR(VLOOKUP(C1250,Lookups!$A$3:$C$7,3,FALSE),"UNMAPPED")</f>
        <v/>
      </c>
    </row>
    <row r="1251">
      <c r="A1251" s="5" t="n">
        <v>46142</v>
      </c>
      <c r="B1251" t="inlineStr">
        <is>
          <t>CZ</t>
        </is>
      </c>
      <c r="C1251" t="inlineStr">
        <is>
          <t>PL_STD</t>
        </is>
      </c>
      <c r="D1251" t="inlineStr">
        <is>
          <t>30-59</t>
        </is>
      </c>
      <c r="E1251" t="n">
        <v>30</v>
      </c>
      <c r="F1251" t="n">
        <v>7</v>
      </c>
      <c r="G1251" t="n">
        <v>262941.8</v>
      </c>
      <c r="H1251">
        <f>IFERROR(VLOOKUP(C1251,Lookups!$A$3:$C$7,3,FALSE),"UNMAPPED")</f>
        <v/>
      </c>
    </row>
    <row r="1252">
      <c r="A1252" s="5" t="n">
        <v>46142</v>
      </c>
      <c r="B1252" t="inlineStr">
        <is>
          <t>CZ</t>
        </is>
      </c>
      <c r="C1252" t="inlineStr">
        <is>
          <t>PL_STD</t>
        </is>
      </c>
      <c r="D1252" t="inlineStr">
        <is>
          <t>60-89</t>
        </is>
      </c>
      <c r="E1252" t="n">
        <v>60</v>
      </c>
      <c r="F1252" t="n">
        <v>7</v>
      </c>
      <c r="G1252" t="n">
        <v>477545.43</v>
      </c>
      <c r="H1252">
        <f>IFERROR(VLOOKUP(C1252,Lookups!$A$3:$C$7,3,FALSE),"UNMAPPED")</f>
        <v/>
      </c>
    </row>
    <row r="1253">
      <c r="A1253" s="5" t="n">
        <v>46142</v>
      </c>
      <c r="B1253" t="inlineStr">
        <is>
          <t>CZ</t>
        </is>
      </c>
      <c r="C1253" t="inlineStr">
        <is>
          <t>PL_STD</t>
        </is>
      </c>
      <c r="D1253" t="inlineStr">
        <is>
          <t>90-179</t>
        </is>
      </c>
      <c r="E1253" t="n">
        <v>90</v>
      </c>
      <c r="F1253" t="n">
        <v>11</v>
      </c>
      <c r="G1253" t="n">
        <v>1045493.49</v>
      </c>
      <c r="H1253">
        <f>IFERROR(VLOOKUP(C1253,Lookups!$A$3:$C$7,3,FALSE),"UNMAPPED")</f>
        <v/>
      </c>
    </row>
    <row r="1254">
      <c r="A1254" s="5" t="n">
        <v>46142</v>
      </c>
      <c r="B1254" t="inlineStr">
        <is>
          <t>PL</t>
        </is>
      </c>
      <c r="C1254" t="inlineStr">
        <is>
          <t>CC_CLASSIC</t>
        </is>
      </c>
      <c r="D1254" t="inlineStr">
        <is>
          <t>Current</t>
        </is>
      </c>
      <c r="E1254" t="n">
        <v>0</v>
      </c>
      <c r="F1254" t="n">
        <v>2005</v>
      </c>
      <c r="G1254" t="n">
        <v>5923232.51</v>
      </c>
      <c r="H1254">
        <f>IFERROR(VLOOKUP(C1254,Lookups!$A$3:$C$7,3,FALSE),"UNMAPPED")</f>
        <v/>
      </c>
    </row>
    <row r="1255">
      <c r="A1255" s="5" t="n">
        <v>46142</v>
      </c>
      <c r="B1255" t="inlineStr">
        <is>
          <t>PL</t>
        </is>
      </c>
      <c r="C1255" t="inlineStr">
        <is>
          <t>CC_CLASSIC</t>
        </is>
      </c>
      <c r="D1255" t="inlineStr">
        <is>
          <t>1-29</t>
        </is>
      </c>
      <c r="E1255" t="n">
        <v>1</v>
      </c>
      <c r="F1255" t="n">
        <v>31</v>
      </c>
      <c r="G1255" t="n">
        <v>67793.73</v>
      </c>
      <c r="H1255">
        <f>IFERROR(VLOOKUP(C1255,Lookups!$A$3:$C$7,3,FALSE),"UNMAPPED")</f>
        <v/>
      </c>
    </row>
    <row r="1256">
      <c r="A1256" s="5" t="n">
        <v>46142</v>
      </c>
      <c r="B1256" t="inlineStr">
        <is>
          <t>PL</t>
        </is>
      </c>
      <c r="C1256" t="inlineStr">
        <is>
          <t>CC_CLASSIC</t>
        </is>
      </c>
      <c r="D1256" t="inlineStr">
        <is>
          <t>30-59</t>
        </is>
      </c>
      <c r="E1256" t="n">
        <v>30</v>
      </c>
      <c r="F1256" t="n">
        <v>16</v>
      </c>
      <c r="G1256" t="n">
        <v>52025.9</v>
      </c>
      <c r="H1256">
        <f>IFERROR(VLOOKUP(C1256,Lookups!$A$3:$C$7,3,FALSE),"UNMAPPED")</f>
        <v/>
      </c>
    </row>
    <row r="1257">
      <c r="A1257" s="5" t="n">
        <v>46142</v>
      </c>
      <c r="B1257" t="inlineStr">
        <is>
          <t>PL</t>
        </is>
      </c>
      <c r="C1257" t="inlineStr">
        <is>
          <t>CC_CLASSIC</t>
        </is>
      </c>
      <c r="D1257" t="inlineStr">
        <is>
          <t>60-89</t>
        </is>
      </c>
      <c r="E1257" t="n">
        <v>60</v>
      </c>
      <c r="F1257" t="n">
        <v>12</v>
      </c>
      <c r="G1257" t="n">
        <v>37053.59</v>
      </c>
      <c r="H1257">
        <f>IFERROR(VLOOKUP(C1257,Lookups!$A$3:$C$7,3,FALSE),"UNMAPPED")</f>
        <v/>
      </c>
    </row>
    <row r="1258">
      <c r="A1258" s="5" t="n">
        <v>46142</v>
      </c>
      <c r="B1258" t="inlineStr">
        <is>
          <t>PL</t>
        </is>
      </c>
      <c r="C1258" t="inlineStr">
        <is>
          <t>CC_CLASSIC</t>
        </is>
      </c>
      <c r="D1258" t="inlineStr">
        <is>
          <t>90-179</t>
        </is>
      </c>
      <c r="E1258" t="n">
        <v>90</v>
      </c>
      <c r="F1258" t="n">
        <v>30</v>
      </c>
      <c r="G1258" t="n">
        <v>116844.98</v>
      </c>
      <c r="H1258">
        <f>IFERROR(VLOOKUP(C1258,Lookups!$A$3:$C$7,3,FALSE),"UNMAPPED")</f>
        <v/>
      </c>
    </row>
    <row r="1259">
      <c r="A1259" s="5" t="n">
        <v>46142</v>
      </c>
      <c r="B1259" t="inlineStr">
        <is>
          <t>PL</t>
        </is>
      </c>
      <c r="C1259" t="inlineStr">
        <is>
          <t>CC_CONSOL</t>
        </is>
      </c>
      <c r="D1259" t="inlineStr">
        <is>
          <t>Current</t>
        </is>
      </c>
      <c r="E1259" t="n">
        <v>0</v>
      </c>
      <c r="F1259" t="n">
        <v>207</v>
      </c>
      <c r="G1259" t="n">
        <v>5316441.99</v>
      </c>
      <c r="H1259">
        <f>IFERROR(VLOOKUP(C1259,Lookups!$A$3:$C$7,3,FALSE),"UNMAPPED")</f>
        <v/>
      </c>
    </row>
    <row r="1260">
      <c r="A1260" s="5" t="n">
        <v>46142</v>
      </c>
      <c r="B1260" t="inlineStr">
        <is>
          <t>PL</t>
        </is>
      </c>
      <c r="C1260" t="inlineStr">
        <is>
          <t>CC_CONSOL</t>
        </is>
      </c>
      <c r="D1260" t="inlineStr">
        <is>
          <t>1-29</t>
        </is>
      </c>
      <c r="E1260" t="n">
        <v>1</v>
      </c>
      <c r="F1260" t="n">
        <v>2</v>
      </c>
      <c r="G1260" t="n">
        <v>60726.32</v>
      </c>
      <c r="H1260">
        <f>IFERROR(VLOOKUP(C1260,Lookups!$A$3:$C$7,3,FALSE),"UNMAPPED")</f>
        <v/>
      </c>
    </row>
    <row r="1261">
      <c r="A1261" s="5" t="n">
        <v>46142</v>
      </c>
      <c r="B1261" t="inlineStr">
        <is>
          <t>PL</t>
        </is>
      </c>
      <c r="C1261" t="inlineStr">
        <is>
          <t>CC_CONSOL</t>
        </is>
      </c>
      <c r="D1261" t="inlineStr">
        <is>
          <t>30-59</t>
        </is>
      </c>
      <c r="E1261" t="n">
        <v>30</v>
      </c>
      <c r="F1261" t="n">
        <v>2</v>
      </c>
      <c r="G1261" t="n">
        <v>89845.14999999999</v>
      </c>
      <c r="H1261">
        <f>IFERROR(VLOOKUP(C1261,Lookups!$A$3:$C$7,3,FALSE),"UNMAPPED")</f>
        <v/>
      </c>
    </row>
    <row r="1262">
      <c r="A1262" s="5" t="n">
        <v>46142</v>
      </c>
      <c r="B1262" t="inlineStr">
        <is>
          <t>PL</t>
        </is>
      </c>
      <c r="C1262" t="inlineStr">
        <is>
          <t>CC_CONSOL</t>
        </is>
      </c>
      <c r="D1262" t="inlineStr">
        <is>
          <t>90-179</t>
        </is>
      </c>
      <c r="E1262" t="n">
        <v>90</v>
      </c>
      <c r="F1262" t="n">
        <v>6</v>
      </c>
      <c r="G1262" t="n">
        <v>174533.58</v>
      </c>
      <c r="H1262">
        <f>IFERROR(VLOOKUP(C1262,Lookups!$A$3:$C$7,3,FALSE),"UNMAPPED")</f>
        <v/>
      </c>
    </row>
    <row r="1263">
      <c r="A1263" s="5" t="n">
        <v>46142</v>
      </c>
      <c r="B1263" t="inlineStr">
        <is>
          <t>PL</t>
        </is>
      </c>
      <c r="C1263" t="inlineStr">
        <is>
          <t>CC_GOLD</t>
        </is>
      </c>
      <c r="D1263" t="inlineStr">
        <is>
          <t>Current</t>
        </is>
      </c>
      <c r="E1263" t="n">
        <v>0</v>
      </c>
      <c r="F1263" t="n">
        <v>574</v>
      </c>
      <c r="G1263" t="n">
        <v>6043195.58</v>
      </c>
      <c r="H1263">
        <f>IFERROR(VLOOKUP(C1263,Lookups!$A$3:$C$7,3,FALSE),"UNMAPPED")</f>
        <v/>
      </c>
    </row>
    <row r="1264">
      <c r="A1264" s="5" t="n">
        <v>46142</v>
      </c>
      <c r="B1264" t="inlineStr">
        <is>
          <t>PL</t>
        </is>
      </c>
      <c r="C1264" t="inlineStr">
        <is>
          <t>CC_GOLD</t>
        </is>
      </c>
      <c r="D1264" t="inlineStr">
        <is>
          <t>1-29</t>
        </is>
      </c>
      <c r="E1264" t="n">
        <v>1</v>
      </c>
      <c r="F1264" t="n">
        <v>7</v>
      </c>
      <c r="G1264" t="n">
        <v>52333.79</v>
      </c>
      <c r="H1264">
        <f>IFERROR(VLOOKUP(C1264,Lookups!$A$3:$C$7,3,FALSE),"UNMAPPED")</f>
        <v/>
      </c>
    </row>
    <row r="1265">
      <c r="A1265" s="5" t="n">
        <v>46142</v>
      </c>
      <c r="B1265" t="inlineStr">
        <is>
          <t>PL</t>
        </is>
      </c>
      <c r="C1265" t="inlineStr">
        <is>
          <t>CC_GOLD</t>
        </is>
      </c>
      <c r="D1265" t="inlineStr">
        <is>
          <t>30-59</t>
        </is>
      </c>
      <c r="E1265" t="n">
        <v>30</v>
      </c>
      <c r="F1265" t="n">
        <v>5</v>
      </c>
      <c r="G1265" t="n">
        <v>71699.44</v>
      </c>
      <c r="H1265">
        <f>IFERROR(VLOOKUP(C1265,Lookups!$A$3:$C$7,3,FALSE),"UNMAPPED")</f>
        <v/>
      </c>
    </row>
    <row r="1266">
      <c r="A1266" s="5" t="n">
        <v>46142</v>
      </c>
      <c r="B1266" t="inlineStr">
        <is>
          <t>PL</t>
        </is>
      </c>
      <c r="C1266" t="inlineStr">
        <is>
          <t>CC_GOLD</t>
        </is>
      </c>
      <c r="D1266" t="inlineStr">
        <is>
          <t>60-89</t>
        </is>
      </c>
      <c r="E1266" t="n">
        <v>60</v>
      </c>
      <c r="F1266" t="n">
        <v>3</v>
      </c>
      <c r="G1266" t="n">
        <v>32990.4</v>
      </c>
      <c r="H1266">
        <f>IFERROR(VLOOKUP(C1266,Lookups!$A$3:$C$7,3,FALSE),"UNMAPPED")</f>
        <v/>
      </c>
    </row>
    <row r="1267">
      <c r="A1267" s="5" t="n">
        <v>46142</v>
      </c>
      <c r="B1267" t="inlineStr">
        <is>
          <t>PL</t>
        </is>
      </c>
      <c r="C1267" t="inlineStr">
        <is>
          <t>CC_GOLD</t>
        </is>
      </c>
      <c r="D1267" t="inlineStr">
        <is>
          <t>90-179</t>
        </is>
      </c>
      <c r="E1267" t="n">
        <v>90</v>
      </c>
      <c r="F1267" t="n">
        <v>7</v>
      </c>
      <c r="G1267" t="n">
        <v>111206.24</v>
      </c>
      <c r="H1267">
        <f>IFERROR(VLOOKUP(C1267,Lookups!$A$3:$C$7,3,FALSE),"UNMAPPED")</f>
        <v/>
      </c>
    </row>
    <row r="1268">
      <c r="A1268" s="5" t="n">
        <v>46142</v>
      </c>
      <c r="B1268" t="inlineStr">
        <is>
          <t>PL</t>
        </is>
      </c>
      <c r="C1268" t="inlineStr">
        <is>
          <t>PL_PREM</t>
        </is>
      </c>
      <c r="D1268" t="inlineStr">
        <is>
          <t>Current</t>
        </is>
      </c>
      <c r="E1268" t="n">
        <v>0</v>
      </c>
      <c r="F1268" t="n">
        <v>590</v>
      </c>
      <c r="G1268" t="n">
        <v>22265723.69</v>
      </c>
      <c r="H1268">
        <f>IFERROR(VLOOKUP(C1268,Lookups!$A$3:$C$7,3,FALSE),"UNMAPPED")</f>
        <v/>
      </c>
    </row>
    <row r="1269">
      <c r="A1269" s="5" t="n">
        <v>46142</v>
      </c>
      <c r="B1269" t="inlineStr">
        <is>
          <t>PL</t>
        </is>
      </c>
      <c r="C1269" t="inlineStr">
        <is>
          <t>PL_PREM</t>
        </is>
      </c>
      <c r="D1269" t="inlineStr">
        <is>
          <t>1-29</t>
        </is>
      </c>
      <c r="E1269" t="n">
        <v>1</v>
      </c>
      <c r="F1269" t="n">
        <v>11</v>
      </c>
      <c r="G1269" t="n">
        <v>372980.33</v>
      </c>
      <c r="H1269">
        <f>IFERROR(VLOOKUP(C1269,Lookups!$A$3:$C$7,3,FALSE),"UNMAPPED")</f>
        <v/>
      </c>
    </row>
    <row r="1270">
      <c r="A1270" s="5" t="n">
        <v>46142</v>
      </c>
      <c r="B1270" t="inlineStr">
        <is>
          <t>PL</t>
        </is>
      </c>
      <c r="C1270" t="inlineStr">
        <is>
          <t>PL_PREM</t>
        </is>
      </c>
      <c r="D1270" t="inlineStr">
        <is>
          <t>30-59</t>
        </is>
      </c>
      <c r="E1270" t="n">
        <v>30</v>
      </c>
      <c r="F1270" t="n">
        <v>3</v>
      </c>
      <c r="G1270" t="n">
        <v>94687.92999999999</v>
      </c>
      <c r="H1270">
        <f>IFERROR(VLOOKUP(C1270,Lookups!$A$3:$C$7,3,FALSE),"UNMAPPED")</f>
        <v/>
      </c>
    </row>
    <row r="1271">
      <c r="A1271" s="5" t="n">
        <v>46142</v>
      </c>
      <c r="B1271" t="inlineStr">
        <is>
          <t>PL</t>
        </is>
      </c>
      <c r="C1271" t="inlineStr">
        <is>
          <t>PL_PREM</t>
        </is>
      </c>
      <c r="D1271" t="inlineStr">
        <is>
          <t>60-89</t>
        </is>
      </c>
      <c r="E1271" t="n">
        <v>60</v>
      </c>
      <c r="F1271" t="n">
        <v>5</v>
      </c>
      <c r="G1271" t="n">
        <v>226256.06</v>
      </c>
      <c r="H1271">
        <f>IFERROR(VLOOKUP(C1271,Lookups!$A$3:$C$7,3,FALSE),"UNMAPPED")</f>
        <v/>
      </c>
    </row>
    <row r="1272">
      <c r="A1272" s="5" t="n">
        <v>46142</v>
      </c>
      <c r="B1272" t="inlineStr">
        <is>
          <t>PL</t>
        </is>
      </c>
      <c r="C1272" t="inlineStr">
        <is>
          <t>PL_PREM</t>
        </is>
      </c>
      <c r="D1272" t="inlineStr">
        <is>
          <t>90-179</t>
        </is>
      </c>
      <c r="E1272" t="n">
        <v>90</v>
      </c>
      <c r="F1272" t="n">
        <v>12</v>
      </c>
      <c r="G1272" t="n">
        <v>505025.41</v>
      </c>
      <c r="H1272">
        <f>IFERROR(VLOOKUP(C1272,Lookups!$A$3:$C$7,3,FALSE),"UNMAPPED")</f>
        <v/>
      </c>
    </row>
    <row r="1273">
      <c r="A1273" s="5" t="n">
        <v>46142</v>
      </c>
      <c r="B1273" t="inlineStr">
        <is>
          <t>PL</t>
        </is>
      </c>
      <c r="C1273" t="inlineStr">
        <is>
          <t>PL_STD</t>
        </is>
      </c>
      <c r="D1273" t="inlineStr">
        <is>
          <t>Current</t>
        </is>
      </c>
      <c r="E1273" t="n">
        <v>0</v>
      </c>
      <c r="F1273" t="n">
        <v>1198</v>
      </c>
      <c r="G1273" t="n">
        <v>13604686.96</v>
      </c>
      <c r="H1273">
        <f>IFERROR(VLOOKUP(C1273,Lookups!$A$3:$C$7,3,FALSE),"UNMAPPED")</f>
        <v/>
      </c>
    </row>
    <row r="1274">
      <c r="A1274" s="5" t="n">
        <v>46142</v>
      </c>
      <c r="B1274" t="inlineStr">
        <is>
          <t>PL</t>
        </is>
      </c>
      <c r="C1274" t="inlineStr">
        <is>
          <t>PL_STD</t>
        </is>
      </c>
      <c r="D1274" t="inlineStr">
        <is>
          <t>1-29</t>
        </is>
      </c>
      <c r="E1274" t="n">
        <v>1</v>
      </c>
      <c r="F1274" t="n">
        <v>30</v>
      </c>
      <c r="G1274" t="n">
        <v>287093.1</v>
      </c>
      <c r="H1274">
        <f>IFERROR(VLOOKUP(C1274,Lookups!$A$3:$C$7,3,FALSE),"UNMAPPED")</f>
        <v/>
      </c>
    </row>
    <row r="1275">
      <c r="A1275" s="5" t="n">
        <v>46142</v>
      </c>
      <c r="B1275" t="inlineStr">
        <is>
          <t>PL</t>
        </is>
      </c>
      <c r="C1275" t="inlineStr">
        <is>
          <t>PL_STD</t>
        </is>
      </c>
      <c r="D1275" t="inlineStr">
        <is>
          <t>30-59</t>
        </is>
      </c>
      <c r="E1275" t="n">
        <v>30</v>
      </c>
      <c r="F1275" t="n">
        <v>11</v>
      </c>
      <c r="G1275" t="n">
        <v>131490.32</v>
      </c>
      <c r="H1275">
        <f>IFERROR(VLOOKUP(C1275,Lookups!$A$3:$C$7,3,FALSE),"UNMAPPED")</f>
        <v/>
      </c>
    </row>
    <row r="1276">
      <c r="A1276" s="5" t="n">
        <v>46142</v>
      </c>
      <c r="B1276" t="inlineStr">
        <is>
          <t>PL</t>
        </is>
      </c>
      <c r="C1276" t="inlineStr">
        <is>
          <t>PL_STD</t>
        </is>
      </c>
      <c r="D1276" t="inlineStr">
        <is>
          <t>60-89</t>
        </is>
      </c>
      <c r="E1276" t="n">
        <v>60</v>
      </c>
      <c r="F1276" t="n">
        <v>12</v>
      </c>
      <c r="G1276" t="n">
        <v>141045.34</v>
      </c>
      <c r="H1276">
        <f>IFERROR(VLOOKUP(C1276,Lookups!$A$3:$C$7,3,FALSE),"UNMAPPED")</f>
        <v/>
      </c>
    </row>
    <row r="1277">
      <c r="A1277" s="5" t="n">
        <v>46142</v>
      </c>
      <c r="B1277" t="inlineStr">
        <is>
          <t>PL</t>
        </is>
      </c>
      <c r="C1277" t="inlineStr">
        <is>
          <t>PL_STD</t>
        </is>
      </c>
      <c r="D1277" t="inlineStr">
        <is>
          <t>90-179</t>
        </is>
      </c>
      <c r="E1277" t="n">
        <v>90</v>
      </c>
      <c r="F1277" t="n">
        <v>27</v>
      </c>
      <c r="G1277" t="n">
        <v>320589.47</v>
      </c>
      <c r="H1277">
        <f>IFERROR(VLOOKUP(C1277,Lookups!$A$3:$C$7,3,FALSE),"UNMAPPED")</f>
        <v/>
      </c>
    </row>
    <row r="1278">
      <c r="A1278" s="5" t="n">
        <v>46142</v>
      </c>
      <c r="B1278" t="inlineStr">
        <is>
          <t>RO</t>
        </is>
      </c>
      <c r="C1278" t="inlineStr">
        <is>
          <t>CC_CLASSIC</t>
        </is>
      </c>
      <c r="D1278" t="inlineStr">
        <is>
          <t>Current</t>
        </is>
      </c>
      <c r="E1278" t="n">
        <v>0</v>
      </c>
      <c r="F1278" t="n">
        <v>1128</v>
      </c>
      <c r="G1278" t="n">
        <v>3899468.53</v>
      </c>
      <c r="H1278">
        <f>IFERROR(VLOOKUP(C1278,Lookups!$A$3:$C$7,3,FALSE),"UNMAPPED")</f>
        <v/>
      </c>
    </row>
    <row r="1279">
      <c r="A1279" s="5" t="n">
        <v>46142</v>
      </c>
      <c r="B1279" t="inlineStr">
        <is>
          <t>RO</t>
        </is>
      </c>
      <c r="C1279" t="inlineStr">
        <is>
          <t>CC_CLASSIC</t>
        </is>
      </c>
      <c r="D1279" t="inlineStr">
        <is>
          <t>1-29</t>
        </is>
      </c>
      <c r="E1279" t="n">
        <v>1</v>
      </c>
      <c r="F1279" t="n">
        <v>24</v>
      </c>
      <c r="G1279" t="n">
        <v>119596.04</v>
      </c>
      <c r="H1279">
        <f>IFERROR(VLOOKUP(C1279,Lookups!$A$3:$C$7,3,FALSE),"UNMAPPED")</f>
        <v/>
      </c>
    </row>
    <row r="1280">
      <c r="A1280" s="5" t="n">
        <v>46142</v>
      </c>
      <c r="B1280" t="inlineStr">
        <is>
          <t>RO</t>
        </is>
      </c>
      <c r="C1280" t="inlineStr">
        <is>
          <t>CC_CLASSIC</t>
        </is>
      </c>
      <c r="D1280" t="inlineStr">
        <is>
          <t>30-59</t>
        </is>
      </c>
      <c r="E1280" t="n">
        <v>30</v>
      </c>
      <c r="F1280" t="n">
        <v>11</v>
      </c>
      <c r="G1280" t="n">
        <v>44062.89</v>
      </c>
      <c r="H1280">
        <f>IFERROR(VLOOKUP(C1280,Lookups!$A$3:$C$7,3,FALSE),"UNMAPPED")</f>
        <v/>
      </c>
    </row>
    <row r="1281">
      <c r="A1281" s="5" t="n">
        <v>46142</v>
      </c>
      <c r="B1281" t="inlineStr">
        <is>
          <t>RO</t>
        </is>
      </c>
      <c r="C1281" t="inlineStr">
        <is>
          <t>CC_CLASSIC</t>
        </is>
      </c>
      <c r="D1281" t="inlineStr">
        <is>
          <t>60-89</t>
        </is>
      </c>
      <c r="E1281" t="n">
        <v>60</v>
      </c>
      <c r="F1281" t="n">
        <v>9</v>
      </c>
      <c r="G1281" t="n">
        <v>32151.45</v>
      </c>
      <c r="H1281">
        <f>IFERROR(VLOOKUP(C1281,Lookups!$A$3:$C$7,3,FALSE),"UNMAPPED")</f>
        <v/>
      </c>
    </row>
    <row r="1282">
      <c r="A1282" s="5" t="n">
        <v>46142</v>
      </c>
      <c r="B1282" t="inlineStr">
        <is>
          <t>RO</t>
        </is>
      </c>
      <c r="C1282" t="inlineStr">
        <is>
          <t>CC_CLASSIC</t>
        </is>
      </c>
      <c r="D1282" t="inlineStr">
        <is>
          <t>90-179</t>
        </is>
      </c>
      <c r="E1282" t="n">
        <v>90</v>
      </c>
      <c r="F1282" t="n">
        <v>24</v>
      </c>
      <c r="G1282" t="n">
        <v>101629.8</v>
      </c>
      <c r="H1282">
        <f>IFERROR(VLOOKUP(C1282,Lookups!$A$3:$C$7,3,FALSE),"UNMAPPED")</f>
        <v/>
      </c>
    </row>
    <row r="1283">
      <c r="A1283" s="5" t="n">
        <v>46142</v>
      </c>
      <c r="B1283" t="inlineStr">
        <is>
          <t>RO</t>
        </is>
      </c>
      <c r="C1283" t="inlineStr">
        <is>
          <t>CC_CONSOL</t>
        </is>
      </c>
      <c r="D1283" t="inlineStr">
        <is>
          <t>Current</t>
        </is>
      </c>
      <c r="E1283" t="n">
        <v>0</v>
      </c>
      <c r="F1283" t="n">
        <v>122</v>
      </c>
      <c r="G1283" t="n">
        <v>3665511.43</v>
      </c>
      <c r="H1283">
        <f>IFERROR(VLOOKUP(C1283,Lookups!$A$3:$C$7,3,FALSE),"UNMAPPED")</f>
        <v/>
      </c>
    </row>
    <row r="1284">
      <c r="A1284" s="5" t="n">
        <v>46142</v>
      </c>
      <c r="B1284" t="inlineStr">
        <is>
          <t>RO</t>
        </is>
      </c>
      <c r="C1284" t="inlineStr">
        <is>
          <t>CC_CONSOL</t>
        </is>
      </c>
      <c r="D1284" t="inlineStr">
        <is>
          <t>1-29</t>
        </is>
      </c>
      <c r="E1284" t="n">
        <v>1</v>
      </c>
      <c r="F1284" t="n">
        <v>1</v>
      </c>
      <c r="G1284" t="n">
        <v>35321.82</v>
      </c>
      <c r="H1284">
        <f>IFERROR(VLOOKUP(C1284,Lookups!$A$3:$C$7,3,FALSE),"UNMAPPED")</f>
        <v/>
      </c>
    </row>
    <row r="1285">
      <c r="A1285" s="5" t="n">
        <v>46142</v>
      </c>
      <c r="B1285" t="inlineStr">
        <is>
          <t>RO</t>
        </is>
      </c>
      <c r="C1285" t="inlineStr">
        <is>
          <t>CC_CONSOL</t>
        </is>
      </c>
      <c r="D1285" t="inlineStr">
        <is>
          <t>30-59</t>
        </is>
      </c>
      <c r="E1285" t="n">
        <v>30</v>
      </c>
      <c r="F1285" t="n">
        <v>1</v>
      </c>
      <c r="G1285" t="n">
        <v>40491.45</v>
      </c>
      <c r="H1285">
        <f>IFERROR(VLOOKUP(C1285,Lookups!$A$3:$C$7,3,FALSE),"UNMAPPED")</f>
        <v/>
      </c>
    </row>
    <row r="1286">
      <c r="A1286" s="5" t="n">
        <v>46142</v>
      </c>
      <c r="B1286" t="inlineStr">
        <is>
          <t>RO</t>
        </is>
      </c>
      <c r="C1286" t="inlineStr">
        <is>
          <t>CC_CONSOL</t>
        </is>
      </c>
      <c r="D1286" t="inlineStr">
        <is>
          <t>90-179</t>
        </is>
      </c>
      <c r="E1286" t="n">
        <v>90</v>
      </c>
      <c r="F1286" t="n">
        <v>2</v>
      </c>
      <c r="G1286" t="n">
        <v>93214.07000000001</v>
      </c>
      <c r="H1286">
        <f>IFERROR(VLOOKUP(C1286,Lookups!$A$3:$C$7,3,FALSE),"UNMAPPED")</f>
        <v/>
      </c>
    </row>
    <row r="1287">
      <c r="A1287" s="5" t="n">
        <v>46142</v>
      </c>
      <c r="B1287" t="inlineStr">
        <is>
          <t>RO</t>
        </is>
      </c>
      <c r="C1287" t="inlineStr">
        <is>
          <t>CC_GOLD</t>
        </is>
      </c>
      <c r="D1287" t="inlineStr">
        <is>
          <t>Current</t>
        </is>
      </c>
      <c r="E1287" t="n">
        <v>0</v>
      </c>
      <c r="F1287" t="n">
        <v>327</v>
      </c>
      <c r="G1287" t="n">
        <v>3626604.72</v>
      </c>
      <c r="H1287">
        <f>IFERROR(VLOOKUP(C1287,Lookups!$A$3:$C$7,3,FALSE),"UNMAPPED")</f>
        <v/>
      </c>
    </row>
    <row r="1288">
      <c r="A1288" s="5" t="n">
        <v>46142</v>
      </c>
      <c r="B1288" t="inlineStr">
        <is>
          <t>RO</t>
        </is>
      </c>
      <c r="C1288" t="inlineStr">
        <is>
          <t>CC_GOLD</t>
        </is>
      </c>
      <c r="D1288" t="inlineStr">
        <is>
          <t>1-29</t>
        </is>
      </c>
      <c r="E1288" t="n">
        <v>1</v>
      </c>
      <c r="F1288" t="n">
        <v>8</v>
      </c>
      <c r="G1288" t="n">
        <v>100907.07</v>
      </c>
      <c r="H1288">
        <f>IFERROR(VLOOKUP(C1288,Lookups!$A$3:$C$7,3,FALSE),"UNMAPPED")</f>
        <v/>
      </c>
    </row>
    <row r="1289">
      <c r="A1289" s="5" t="n">
        <v>46142</v>
      </c>
      <c r="B1289" t="inlineStr">
        <is>
          <t>RO</t>
        </is>
      </c>
      <c r="C1289" t="inlineStr">
        <is>
          <t>CC_GOLD</t>
        </is>
      </c>
      <c r="D1289" t="inlineStr">
        <is>
          <t>30-59</t>
        </is>
      </c>
      <c r="E1289" t="n">
        <v>30</v>
      </c>
      <c r="F1289" t="n">
        <v>2</v>
      </c>
      <c r="G1289" t="n">
        <v>30940</v>
      </c>
      <c r="H1289">
        <f>IFERROR(VLOOKUP(C1289,Lookups!$A$3:$C$7,3,FALSE),"UNMAPPED")</f>
        <v/>
      </c>
    </row>
    <row r="1290">
      <c r="A1290" s="5" t="n">
        <v>46142</v>
      </c>
      <c r="B1290" t="inlineStr">
        <is>
          <t>RO</t>
        </is>
      </c>
      <c r="C1290" t="inlineStr">
        <is>
          <t>CC_GOLD</t>
        </is>
      </c>
      <c r="D1290" t="inlineStr">
        <is>
          <t>60-89</t>
        </is>
      </c>
      <c r="E1290" t="n">
        <v>60</v>
      </c>
      <c r="F1290" t="n">
        <v>4</v>
      </c>
      <c r="G1290" t="n">
        <v>28943.82</v>
      </c>
      <c r="H1290">
        <f>IFERROR(VLOOKUP(C1290,Lookups!$A$3:$C$7,3,FALSE),"UNMAPPED")</f>
        <v/>
      </c>
    </row>
    <row r="1291">
      <c r="A1291" s="5" t="n">
        <v>46142</v>
      </c>
      <c r="B1291" t="inlineStr">
        <is>
          <t>RO</t>
        </is>
      </c>
      <c r="C1291" t="inlineStr">
        <is>
          <t>CC_GOLD</t>
        </is>
      </c>
      <c r="D1291" t="inlineStr">
        <is>
          <t>90-179</t>
        </is>
      </c>
      <c r="E1291" t="n">
        <v>90</v>
      </c>
      <c r="F1291" t="n">
        <v>5</v>
      </c>
      <c r="G1291" t="n">
        <v>68448.05</v>
      </c>
      <c r="H1291">
        <f>IFERROR(VLOOKUP(C1291,Lookups!$A$3:$C$7,3,FALSE),"UNMAPPED")</f>
        <v/>
      </c>
    </row>
    <row r="1292">
      <c r="A1292" s="5" t="n">
        <v>46142</v>
      </c>
      <c r="B1292" t="inlineStr">
        <is>
          <t>RO</t>
        </is>
      </c>
      <c r="C1292" t="inlineStr">
        <is>
          <t>PL_PREM</t>
        </is>
      </c>
      <c r="D1292" t="inlineStr">
        <is>
          <t>Current</t>
        </is>
      </c>
      <c r="E1292" t="n">
        <v>0</v>
      </c>
      <c r="F1292" t="n">
        <v>341</v>
      </c>
      <c r="G1292" t="n">
        <v>15009994.63</v>
      </c>
      <c r="H1292">
        <f>IFERROR(VLOOKUP(C1292,Lookups!$A$3:$C$7,3,FALSE),"UNMAPPED")</f>
        <v/>
      </c>
    </row>
    <row r="1293">
      <c r="A1293" s="5" t="n">
        <v>46142</v>
      </c>
      <c r="B1293" t="inlineStr">
        <is>
          <t>RO</t>
        </is>
      </c>
      <c r="C1293" t="inlineStr">
        <is>
          <t>PL_PREM</t>
        </is>
      </c>
      <c r="D1293" t="inlineStr">
        <is>
          <t>1-29</t>
        </is>
      </c>
      <c r="E1293" t="n">
        <v>1</v>
      </c>
      <c r="F1293" t="n">
        <v>10</v>
      </c>
      <c r="G1293" t="n">
        <v>445132.94</v>
      </c>
      <c r="H1293">
        <f>IFERROR(VLOOKUP(C1293,Lookups!$A$3:$C$7,3,FALSE),"UNMAPPED")</f>
        <v/>
      </c>
    </row>
    <row r="1294">
      <c r="A1294" s="5" t="n">
        <v>46142</v>
      </c>
      <c r="B1294" t="inlineStr">
        <is>
          <t>RO</t>
        </is>
      </c>
      <c r="C1294" t="inlineStr">
        <is>
          <t>PL_PREM</t>
        </is>
      </c>
      <c r="D1294" t="inlineStr">
        <is>
          <t>30-59</t>
        </is>
      </c>
      <c r="E1294" t="n">
        <v>30</v>
      </c>
      <c r="F1294" t="n">
        <v>5</v>
      </c>
      <c r="G1294" t="n">
        <v>230008.02</v>
      </c>
      <c r="H1294">
        <f>IFERROR(VLOOKUP(C1294,Lookups!$A$3:$C$7,3,FALSE),"UNMAPPED")</f>
        <v/>
      </c>
    </row>
    <row r="1295">
      <c r="A1295" s="5" t="n">
        <v>46142</v>
      </c>
      <c r="B1295" t="inlineStr">
        <is>
          <t>RO</t>
        </is>
      </c>
      <c r="C1295" t="inlineStr">
        <is>
          <t>PL_PREM</t>
        </is>
      </c>
      <c r="D1295" t="inlineStr">
        <is>
          <t>60-89</t>
        </is>
      </c>
      <c r="E1295" t="n">
        <v>60</v>
      </c>
      <c r="F1295" t="n">
        <v>2</v>
      </c>
      <c r="G1295" t="n">
        <v>67229.00999999999</v>
      </c>
      <c r="H1295">
        <f>IFERROR(VLOOKUP(C1295,Lookups!$A$3:$C$7,3,FALSE),"UNMAPPED")</f>
        <v/>
      </c>
    </row>
    <row r="1296">
      <c r="A1296" s="5" t="n">
        <v>46142</v>
      </c>
      <c r="B1296" t="inlineStr">
        <is>
          <t>RO</t>
        </is>
      </c>
      <c r="C1296" t="inlineStr">
        <is>
          <t>PL_PREM</t>
        </is>
      </c>
      <c r="D1296" t="inlineStr">
        <is>
          <t>90-179</t>
        </is>
      </c>
      <c r="E1296" t="n">
        <v>90</v>
      </c>
      <c r="F1296" t="n">
        <v>4</v>
      </c>
      <c r="G1296" t="n">
        <v>262445.5</v>
      </c>
      <c r="H1296">
        <f>IFERROR(VLOOKUP(C1296,Lookups!$A$3:$C$7,3,FALSE),"UNMAPPED")</f>
        <v/>
      </c>
    </row>
    <row r="1297">
      <c r="A1297" s="5" t="n">
        <v>46142</v>
      </c>
      <c r="B1297" t="inlineStr">
        <is>
          <t>RO</t>
        </is>
      </c>
      <c r="C1297" t="inlineStr">
        <is>
          <t>PL_STD</t>
        </is>
      </c>
      <c r="D1297" t="inlineStr">
        <is>
          <t>Current</t>
        </is>
      </c>
      <c r="E1297" t="n">
        <v>0</v>
      </c>
      <c r="F1297" t="n">
        <v>778</v>
      </c>
      <c r="G1297" t="n">
        <v>10645076.32</v>
      </c>
      <c r="H1297">
        <f>IFERROR(VLOOKUP(C1297,Lookups!$A$3:$C$7,3,FALSE),"UNMAPPED")</f>
        <v/>
      </c>
    </row>
    <row r="1298">
      <c r="A1298" s="5" t="n">
        <v>46142</v>
      </c>
      <c r="B1298" t="inlineStr">
        <is>
          <t>RO</t>
        </is>
      </c>
      <c r="C1298" t="inlineStr">
        <is>
          <t>PL_STD</t>
        </is>
      </c>
      <c r="D1298" t="inlineStr">
        <is>
          <t>1-29</t>
        </is>
      </c>
      <c r="E1298" t="n">
        <v>1</v>
      </c>
      <c r="F1298" t="n">
        <v>17</v>
      </c>
      <c r="G1298" t="n">
        <v>323183.89</v>
      </c>
      <c r="H1298">
        <f>IFERROR(VLOOKUP(C1298,Lookups!$A$3:$C$7,3,FALSE),"UNMAPPED")</f>
        <v/>
      </c>
    </row>
    <row r="1299">
      <c r="A1299" s="5" t="n">
        <v>46142</v>
      </c>
      <c r="B1299" t="inlineStr">
        <is>
          <t>RO</t>
        </is>
      </c>
      <c r="C1299" t="inlineStr">
        <is>
          <t>PL_STD</t>
        </is>
      </c>
      <c r="D1299" t="inlineStr">
        <is>
          <t>30-59</t>
        </is>
      </c>
      <c r="E1299" t="n">
        <v>30</v>
      </c>
      <c r="F1299" t="n">
        <v>11</v>
      </c>
      <c r="G1299" t="n">
        <v>152102.69</v>
      </c>
      <c r="H1299">
        <f>IFERROR(VLOOKUP(C1299,Lookups!$A$3:$C$7,3,FALSE),"UNMAPPED")</f>
        <v/>
      </c>
    </row>
    <row r="1300">
      <c r="A1300" s="5" t="n">
        <v>46142</v>
      </c>
      <c r="B1300" t="inlineStr">
        <is>
          <t>RO</t>
        </is>
      </c>
      <c r="C1300" t="inlineStr">
        <is>
          <t>PL_STD</t>
        </is>
      </c>
      <c r="D1300" t="inlineStr">
        <is>
          <t>60-89</t>
        </is>
      </c>
      <c r="E1300" t="n">
        <v>60</v>
      </c>
      <c r="F1300" t="n">
        <v>13</v>
      </c>
      <c r="G1300" t="n">
        <v>193698.61</v>
      </c>
      <c r="H1300">
        <f>IFERROR(VLOOKUP(C1300,Lookups!$A$3:$C$7,3,FALSE),"UNMAPPED")</f>
        <v/>
      </c>
    </row>
    <row r="1301">
      <c r="A1301" s="5" t="n">
        <v>46142</v>
      </c>
      <c r="B1301" t="inlineStr">
        <is>
          <t>RO</t>
        </is>
      </c>
      <c r="C1301" t="inlineStr">
        <is>
          <t>PL_STD</t>
        </is>
      </c>
      <c r="D1301" t="inlineStr">
        <is>
          <t>90-179</t>
        </is>
      </c>
      <c r="E1301" t="n">
        <v>90</v>
      </c>
      <c r="F1301" t="n">
        <v>13</v>
      </c>
      <c r="G1301" t="n">
        <v>237784.84</v>
      </c>
      <c r="H1301">
        <f>IFERROR(VLOOKUP(C1301,Lookups!$A$3:$C$7,3,FALSE),"UNMAPPED")</f>
        <v/>
      </c>
    </row>
    <row r="1302">
      <c r="A1302" s="5" t="n">
        <v>46173</v>
      </c>
      <c r="B1302" t="inlineStr">
        <is>
          <t>CZ</t>
        </is>
      </c>
      <c r="C1302" t="inlineStr">
        <is>
          <t>CC_CLASSIC</t>
        </is>
      </c>
      <c r="D1302" t="inlineStr">
        <is>
          <t>Current</t>
        </is>
      </c>
      <c r="E1302" t="n">
        <v>0</v>
      </c>
      <c r="F1302" t="n">
        <v>1544</v>
      </c>
      <c r="G1302" t="n">
        <v>25903929.38</v>
      </c>
      <c r="H1302">
        <f>IFERROR(VLOOKUP(C1302,Lookups!$A$3:$C$7,3,FALSE),"UNMAPPED")</f>
        <v/>
      </c>
    </row>
    <row r="1303">
      <c r="A1303" s="5" t="n">
        <v>46173</v>
      </c>
      <c r="B1303" t="inlineStr">
        <is>
          <t>CZ</t>
        </is>
      </c>
      <c r="C1303" t="inlineStr">
        <is>
          <t>CC_CLASSIC</t>
        </is>
      </c>
      <c r="D1303" t="inlineStr">
        <is>
          <t>1-29</t>
        </is>
      </c>
      <c r="E1303" t="n">
        <v>1</v>
      </c>
      <c r="F1303" t="n">
        <v>24</v>
      </c>
      <c r="G1303" t="n">
        <v>406581.92</v>
      </c>
      <c r="H1303">
        <f>IFERROR(VLOOKUP(C1303,Lookups!$A$3:$C$7,3,FALSE),"UNMAPPED")</f>
        <v/>
      </c>
    </row>
    <row r="1304">
      <c r="A1304" s="5" t="n">
        <v>46173</v>
      </c>
      <c r="B1304" t="inlineStr">
        <is>
          <t>CZ</t>
        </is>
      </c>
      <c r="C1304" t="inlineStr">
        <is>
          <t>CC_CLASSIC</t>
        </is>
      </c>
      <c r="D1304" t="inlineStr">
        <is>
          <t>30-59</t>
        </is>
      </c>
      <c r="E1304" t="n">
        <v>30</v>
      </c>
      <c r="F1304" t="n">
        <v>8</v>
      </c>
      <c r="G1304" t="n">
        <v>199525.49</v>
      </c>
      <c r="H1304">
        <f>IFERROR(VLOOKUP(C1304,Lookups!$A$3:$C$7,3,FALSE),"UNMAPPED")</f>
        <v/>
      </c>
    </row>
    <row r="1305">
      <c r="A1305" s="5" t="n">
        <v>46173</v>
      </c>
      <c r="B1305" t="inlineStr">
        <is>
          <t>CZ</t>
        </is>
      </c>
      <c r="C1305" t="inlineStr">
        <is>
          <t>CC_CLASSIC</t>
        </is>
      </c>
      <c r="D1305" t="inlineStr">
        <is>
          <t>60-89</t>
        </is>
      </c>
      <c r="E1305" t="n">
        <v>60</v>
      </c>
      <c r="F1305" t="n">
        <v>7</v>
      </c>
      <c r="G1305" t="n">
        <v>135222.97</v>
      </c>
      <c r="H1305">
        <f>IFERROR(VLOOKUP(C1305,Lookups!$A$3:$C$7,3,FALSE),"UNMAPPED")</f>
        <v/>
      </c>
    </row>
    <row r="1306">
      <c r="A1306" s="5" t="n">
        <v>46173</v>
      </c>
      <c r="B1306" t="inlineStr">
        <is>
          <t>CZ</t>
        </is>
      </c>
      <c r="C1306" t="inlineStr">
        <is>
          <t>CC_CLASSIC</t>
        </is>
      </c>
      <c r="D1306" t="inlineStr">
        <is>
          <t>90-179</t>
        </is>
      </c>
      <c r="E1306" t="n">
        <v>90</v>
      </c>
      <c r="F1306" t="n">
        <v>32</v>
      </c>
      <c r="G1306" t="n">
        <v>494909.09</v>
      </c>
      <c r="H1306">
        <f>IFERROR(VLOOKUP(C1306,Lookups!$A$3:$C$7,3,FALSE),"UNMAPPED")</f>
        <v/>
      </c>
    </row>
    <row r="1307">
      <c r="A1307" s="5" t="n">
        <v>46173</v>
      </c>
      <c r="B1307" t="inlineStr">
        <is>
          <t>CZ</t>
        </is>
      </c>
      <c r="C1307" t="inlineStr">
        <is>
          <t>CC_CONSOL</t>
        </is>
      </c>
      <c r="D1307" t="inlineStr">
        <is>
          <t>Current</t>
        </is>
      </c>
      <c r="E1307" t="n">
        <v>0</v>
      </c>
      <c r="F1307" t="n">
        <v>172</v>
      </c>
      <c r="G1307" t="n">
        <v>23470961.45</v>
      </c>
      <c r="H1307">
        <f>IFERROR(VLOOKUP(C1307,Lookups!$A$3:$C$7,3,FALSE),"UNMAPPED")</f>
        <v/>
      </c>
    </row>
    <row r="1308">
      <c r="A1308" s="5" t="n">
        <v>46173</v>
      </c>
      <c r="B1308" t="inlineStr">
        <is>
          <t>CZ</t>
        </is>
      </c>
      <c r="C1308" t="inlineStr">
        <is>
          <t>CC_CONSOL</t>
        </is>
      </c>
      <c r="D1308" t="inlineStr">
        <is>
          <t>1-29</t>
        </is>
      </c>
      <c r="E1308" t="n">
        <v>1</v>
      </c>
      <c r="F1308" t="n">
        <v>1</v>
      </c>
      <c r="G1308" t="n">
        <v>211248.47</v>
      </c>
      <c r="H1308">
        <f>IFERROR(VLOOKUP(C1308,Lookups!$A$3:$C$7,3,FALSE),"UNMAPPED")</f>
        <v/>
      </c>
    </row>
    <row r="1309">
      <c r="A1309" s="5" t="n">
        <v>46173</v>
      </c>
      <c r="B1309" t="inlineStr">
        <is>
          <t>CZ</t>
        </is>
      </c>
      <c r="C1309" t="inlineStr">
        <is>
          <t>CC_CONSOL</t>
        </is>
      </c>
      <c r="D1309" t="inlineStr">
        <is>
          <t>90-179</t>
        </is>
      </c>
      <c r="E1309" t="n">
        <v>90</v>
      </c>
      <c r="F1309" t="n">
        <v>1</v>
      </c>
      <c r="G1309" t="n">
        <v>115739.23</v>
      </c>
      <c r="H1309">
        <f>IFERROR(VLOOKUP(C1309,Lookups!$A$3:$C$7,3,FALSE),"UNMAPPED")</f>
        <v/>
      </c>
    </row>
    <row r="1310">
      <c r="A1310" s="5" t="n">
        <v>46173</v>
      </c>
      <c r="B1310" t="inlineStr">
        <is>
          <t>CZ</t>
        </is>
      </c>
      <c r="C1310" t="inlineStr">
        <is>
          <t>CC_GOLD</t>
        </is>
      </c>
      <c r="D1310" t="inlineStr">
        <is>
          <t>Current</t>
        </is>
      </c>
      <c r="E1310" t="n">
        <v>0</v>
      </c>
      <c r="F1310" t="n">
        <v>426</v>
      </c>
      <c r="G1310" t="n">
        <v>25719721.35</v>
      </c>
      <c r="H1310">
        <f>IFERROR(VLOOKUP(C1310,Lookups!$A$3:$C$7,3,FALSE),"UNMAPPED")</f>
        <v/>
      </c>
    </row>
    <row r="1311">
      <c r="A1311" s="5" t="n">
        <v>46173</v>
      </c>
      <c r="B1311" t="inlineStr">
        <is>
          <t>CZ</t>
        </is>
      </c>
      <c r="C1311" t="inlineStr">
        <is>
          <t>CC_GOLD</t>
        </is>
      </c>
      <c r="D1311" t="inlineStr">
        <is>
          <t>1-29</t>
        </is>
      </c>
      <c r="E1311" t="n">
        <v>1</v>
      </c>
      <c r="F1311" t="n">
        <v>7</v>
      </c>
      <c r="G1311" t="n">
        <v>421360.17</v>
      </c>
      <c r="H1311">
        <f>IFERROR(VLOOKUP(C1311,Lookups!$A$3:$C$7,3,FALSE),"UNMAPPED")</f>
        <v/>
      </c>
    </row>
    <row r="1312">
      <c r="A1312" s="5" t="n">
        <v>46173</v>
      </c>
      <c r="B1312" t="inlineStr">
        <is>
          <t>CZ</t>
        </is>
      </c>
      <c r="C1312" t="inlineStr">
        <is>
          <t>CC_GOLD</t>
        </is>
      </c>
      <c r="D1312" t="inlineStr">
        <is>
          <t>60-89</t>
        </is>
      </c>
      <c r="E1312" t="n">
        <v>60</v>
      </c>
      <c r="F1312" t="n">
        <v>5</v>
      </c>
      <c r="G1312" t="n">
        <v>423640.45</v>
      </c>
      <c r="H1312">
        <f>IFERROR(VLOOKUP(C1312,Lookups!$A$3:$C$7,3,FALSE),"UNMAPPED")</f>
        <v/>
      </c>
    </row>
    <row r="1313">
      <c r="A1313" s="5" t="n">
        <v>46173</v>
      </c>
      <c r="B1313" t="inlineStr">
        <is>
          <t>CZ</t>
        </is>
      </c>
      <c r="C1313" t="inlineStr">
        <is>
          <t>CC_GOLD</t>
        </is>
      </c>
      <c r="D1313" t="inlineStr">
        <is>
          <t>90-179</t>
        </is>
      </c>
      <c r="E1313" t="n">
        <v>90</v>
      </c>
      <c r="F1313" t="n">
        <v>3</v>
      </c>
      <c r="G1313" t="n">
        <v>243629.74</v>
      </c>
      <c r="H1313">
        <f>IFERROR(VLOOKUP(C1313,Lookups!$A$3:$C$7,3,FALSE),"UNMAPPED")</f>
        <v/>
      </c>
    </row>
    <row r="1314">
      <c r="A1314" s="5" t="n">
        <v>46173</v>
      </c>
      <c r="B1314" t="inlineStr">
        <is>
          <t>CZ</t>
        </is>
      </c>
      <c r="C1314" t="inlineStr">
        <is>
          <t>PL_PREM</t>
        </is>
      </c>
      <c r="D1314" t="inlineStr">
        <is>
          <t>Current</t>
        </is>
      </c>
      <c r="E1314" t="n">
        <v>0</v>
      </c>
      <c r="F1314" t="n">
        <v>389</v>
      </c>
      <c r="G1314" t="n">
        <v>82047434.7</v>
      </c>
      <c r="H1314">
        <f>IFERROR(VLOOKUP(C1314,Lookups!$A$3:$C$7,3,FALSE),"UNMAPPED")</f>
        <v/>
      </c>
    </row>
    <row r="1315">
      <c r="A1315" s="5" t="n">
        <v>46173</v>
      </c>
      <c r="B1315" t="inlineStr">
        <is>
          <t>CZ</t>
        </is>
      </c>
      <c r="C1315" t="inlineStr">
        <is>
          <t>PL_PREM</t>
        </is>
      </c>
      <c r="D1315" t="inlineStr">
        <is>
          <t>1-29</t>
        </is>
      </c>
      <c r="E1315" t="n">
        <v>1</v>
      </c>
      <c r="F1315" t="n">
        <v>2</v>
      </c>
      <c r="G1315" t="n">
        <v>266410.77</v>
      </c>
      <c r="H1315">
        <f>IFERROR(VLOOKUP(C1315,Lookups!$A$3:$C$7,3,FALSE),"UNMAPPED")</f>
        <v/>
      </c>
    </row>
    <row r="1316">
      <c r="A1316" s="5" t="n">
        <v>46173</v>
      </c>
      <c r="B1316" t="inlineStr">
        <is>
          <t>CZ</t>
        </is>
      </c>
      <c r="C1316" t="inlineStr">
        <is>
          <t>PL_PREM</t>
        </is>
      </c>
      <c r="D1316" t="inlineStr">
        <is>
          <t>30-59</t>
        </is>
      </c>
      <c r="E1316" t="n">
        <v>30</v>
      </c>
      <c r="F1316" t="n">
        <v>5</v>
      </c>
      <c r="G1316" t="n">
        <v>1203595.47</v>
      </c>
      <c r="H1316">
        <f>IFERROR(VLOOKUP(C1316,Lookups!$A$3:$C$7,3,FALSE),"UNMAPPED")</f>
        <v/>
      </c>
    </row>
    <row r="1317">
      <c r="A1317" s="5" t="n">
        <v>46173</v>
      </c>
      <c r="B1317" t="inlineStr">
        <is>
          <t>CZ</t>
        </is>
      </c>
      <c r="C1317" t="inlineStr">
        <is>
          <t>PL_PREM</t>
        </is>
      </c>
      <c r="D1317" t="inlineStr">
        <is>
          <t>60-89</t>
        </is>
      </c>
      <c r="E1317" t="n">
        <v>60</v>
      </c>
      <c r="F1317" t="n">
        <v>3</v>
      </c>
      <c r="G1317" t="n">
        <v>1065254.9</v>
      </c>
      <c r="H1317">
        <f>IFERROR(VLOOKUP(C1317,Lookups!$A$3:$C$7,3,FALSE),"UNMAPPED")</f>
        <v/>
      </c>
    </row>
    <row r="1318">
      <c r="A1318" s="5" t="n">
        <v>46173</v>
      </c>
      <c r="B1318" t="inlineStr">
        <is>
          <t>CZ</t>
        </is>
      </c>
      <c r="C1318" t="inlineStr">
        <is>
          <t>PL_PREM</t>
        </is>
      </c>
      <c r="D1318" t="inlineStr">
        <is>
          <t>90-179</t>
        </is>
      </c>
      <c r="E1318" t="n">
        <v>90</v>
      </c>
      <c r="F1318" t="n">
        <v>4</v>
      </c>
      <c r="G1318" t="n">
        <v>698464.29</v>
      </c>
      <c r="H1318">
        <f>IFERROR(VLOOKUP(C1318,Lookups!$A$3:$C$7,3,FALSE),"UNMAPPED")</f>
        <v/>
      </c>
    </row>
    <row r="1319">
      <c r="A1319" s="5" t="n">
        <v>46173</v>
      </c>
      <c r="B1319" t="inlineStr">
        <is>
          <t>CZ</t>
        </is>
      </c>
      <c r="C1319" t="inlineStr">
        <is>
          <t>PL_STD</t>
        </is>
      </c>
      <c r="D1319" t="inlineStr">
        <is>
          <t>Current</t>
        </is>
      </c>
      <c r="E1319" t="n">
        <v>0</v>
      </c>
      <c r="F1319" t="n">
        <v>935</v>
      </c>
      <c r="G1319" t="n">
        <v>61512720.19</v>
      </c>
      <c r="H1319">
        <f>IFERROR(VLOOKUP(C1319,Lookups!$A$3:$C$7,3,FALSE),"UNMAPPED")</f>
        <v/>
      </c>
    </row>
    <row r="1320">
      <c r="A1320" s="5" t="n">
        <v>46173</v>
      </c>
      <c r="B1320" t="inlineStr">
        <is>
          <t>CZ</t>
        </is>
      </c>
      <c r="C1320" t="inlineStr">
        <is>
          <t>PL_STD</t>
        </is>
      </c>
      <c r="D1320" t="inlineStr">
        <is>
          <t>1-29</t>
        </is>
      </c>
      <c r="E1320" t="n">
        <v>1</v>
      </c>
      <c r="F1320" t="n">
        <v>17</v>
      </c>
      <c r="G1320" t="n">
        <v>949995.59</v>
      </c>
      <c r="H1320">
        <f>IFERROR(VLOOKUP(C1320,Lookups!$A$3:$C$7,3,FALSE),"UNMAPPED")</f>
        <v/>
      </c>
    </row>
    <row r="1321">
      <c r="A1321" s="5" t="n">
        <v>46173</v>
      </c>
      <c r="B1321" t="inlineStr">
        <is>
          <t>CZ</t>
        </is>
      </c>
      <c r="C1321" t="inlineStr">
        <is>
          <t>PL_STD</t>
        </is>
      </c>
      <c r="D1321" t="inlineStr">
        <is>
          <t>30-59</t>
        </is>
      </c>
      <c r="E1321" t="n">
        <v>30</v>
      </c>
      <c r="F1321" t="n">
        <v>4</v>
      </c>
      <c r="G1321" t="n">
        <v>554217.63</v>
      </c>
      <c r="H1321">
        <f>IFERROR(VLOOKUP(C1321,Lookups!$A$3:$C$7,3,FALSE),"UNMAPPED")</f>
        <v/>
      </c>
    </row>
    <row r="1322">
      <c r="A1322" s="5" t="n">
        <v>46173</v>
      </c>
      <c r="B1322" t="inlineStr">
        <is>
          <t>CZ</t>
        </is>
      </c>
      <c r="C1322" t="inlineStr">
        <is>
          <t>PL_STD</t>
        </is>
      </c>
      <c r="D1322" t="inlineStr">
        <is>
          <t>60-89</t>
        </is>
      </c>
      <c r="E1322" t="n">
        <v>60</v>
      </c>
      <c r="F1322" t="n">
        <v>7</v>
      </c>
      <c r="G1322" t="n">
        <v>194410.31</v>
      </c>
      <c r="H1322">
        <f>IFERROR(VLOOKUP(C1322,Lookups!$A$3:$C$7,3,FALSE),"UNMAPPED")</f>
        <v/>
      </c>
    </row>
    <row r="1323">
      <c r="A1323" s="5" t="n">
        <v>46173</v>
      </c>
      <c r="B1323" t="inlineStr">
        <is>
          <t>CZ</t>
        </is>
      </c>
      <c r="C1323" t="inlineStr">
        <is>
          <t>PL_STD</t>
        </is>
      </c>
      <c r="D1323" t="inlineStr">
        <is>
          <t>90-179</t>
        </is>
      </c>
      <c r="E1323" t="n">
        <v>90</v>
      </c>
      <c r="F1323" t="n">
        <v>11</v>
      </c>
      <c r="G1323" t="n">
        <v>842723.48</v>
      </c>
      <c r="H1323">
        <f>IFERROR(VLOOKUP(C1323,Lookups!$A$3:$C$7,3,FALSE),"UNMAPPED")</f>
        <v/>
      </c>
    </row>
    <row r="1324">
      <c r="A1324" s="5" t="n">
        <v>46173</v>
      </c>
      <c r="B1324" t="inlineStr">
        <is>
          <t>PL</t>
        </is>
      </c>
      <c r="C1324" t="inlineStr">
        <is>
          <t>CC_CLASSIC</t>
        </is>
      </c>
      <c r="D1324" t="inlineStr">
        <is>
          <t>Current</t>
        </is>
      </c>
      <c r="E1324" t="n">
        <v>0</v>
      </c>
      <c r="F1324" t="n">
        <v>2082</v>
      </c>
      <c r="G1324" t="n">
        <v>6123581.31</v>
      </c>
      <c r="H1324">
        <f>IFERROR(VLOOKUP(C1324,Lookups!$A$3:$C$7,3,FALSE),"UNMAPPED")</f>
        <v/>
      </c>
    </row>
    <row r="1325">
      <c r="A1325" s="5" t="n">
        <v>46173</v>
      </c>
      <c r="B1325" t="inlineStr">
        <is>
          <t>PL</t>
        </is>
      </c>
      <c r="C1325" t="inlineStr">
        <is>
          <t>CC_CLASSIC</t>
        </is>
      </c>
      <c r="D1325" t="inlineStr">
        <is>
          <t>1-29</t>
        </is>
      </c>
      <c r="E1325" t="n">
        <v>1</v>
      </c>
      <c r="F1325" t="n">
        <v>20</v>
      </c>
      <c r="G1325" t="n">
        <v>67194.78999999999</v>
      </c>
      <c r="H1325">
        <f>IFERROR(VLOOKUP(C1325,Lookups!$A$3:$C$7,3,FALSE),"UNMAPPED")</f>
        <v/>
      </c>
    </row>
    <row r="1326">
      <c r="A1326" s="5" t="n">
        <v>46173</v>
      </c>
      <c r="B1326" t="inlineStr">
        <is>
          <t>PL</t>
        </is>
      </c>
      <c r="C1326" t="inlineStr">
        <is>
          <t>CC_CLASSIC</t>
        </is>
      </c>
      <c r="D1326" t="inlineStr">
        <is>
          <t>30-59</t>
        </is>
      </c>
      <c r="E1326" t="n">
        <v>30</v>
      </c>
      <c r="F1326" t="n">
        <v>16</v>
      </c>
      <c r="G1326" t="n">
        <v>38658.95</v>
      </c>
      <c r="H1326">
        <f>IFERROR(VLOOKUP(C1326,Lookups!$A$3:$C$7,3,FALSE),"UNMAPPED")</f>
        <v/>
      </c>
    </row>
    <row r="1327">
      <c r="A1327" s="5" t="n">
        <v>46173</v>
      </c>
      <c r="B1327" t="inlineStr">
        <is>
          <t>PL</t>
        </is>
      </c>
      <c r="C1327" t="inlineStr">
        <is>
          <t>CC_CLASSIC</t>
        </is>
      </c>
      <c r="D1327" t="inlineStr">
        <is>
          <t>60-89</t>
        </is>
      </c>
      <c r="E1327" t="n">
        <v>60</v>
      </c>
      <c r="F1327" t="n">
        <v>10</v>
      </c>
      <c r="G1327" t="n">
        <v>30736.18</v>
      </c>
      <c r="H1327">
        <f>IFERROR(VLOOKUP(C1327,Lookups!$A$3:$C$7,3,FALSE),"UNMAPPED")</f>
        <v/>
      </c>
    </row>
    <row r="1328">
      <c r="A1328" s="5" t="n">
        <v>46173</v>
      </c>
      <c r="B1328" t="inlineStr">
        <is>
          <t>PL</t>
        </is>
      </c>
      <c r="C1328" t="inlineStr">
        <is>
          <t>CC_CLASSIC</t>
        </is>
      </c>
      <c r="D1328" t="inlineStr">
        <is>
          <t>90-179</t>
        </is>
      </c>
      <c r="E1328" t="n">
        <v>90</v>
      </c>
      <c r="F1328" t="n">
        <v>29</v>
      </c>
      <c r="G1328" t="n">
        <v>102809.03</v>
      </c>
      <c r="H1328">
        <f>IFERROR(VLOOKUP(C1328,Lookups!$A$3:$C$7,3,FALSE),"UNMAPPED")</f>
        <v/>
      </c>
    </row>
    <row r="1329">
      <c r="A1329" s="5" t="n">
        <v>46173</v>
      </c>
      <c r="B1329" t="inlineStr">
        <is>
          <t>PL</t>
        </is>
      </c>
      <c r="C1329" t="inlineStr">
        <is>
          <t>CC_CONSOL</t>
        </is>
      </c>
      <c r="D1329" t="inlineStr">
        <is>
          <t>Current</t>
        </is>
      </c>
      <c r="E1329" t="n">
        <v>0</v>
      </c>
      <c r="F1329" t="n">
        <v>212</v>
      </c>
      <c r="G1329" t="n">
        <v>5310675.88</v>
      </c>
      <c r="H1329">
        <f>IFERROR(VLOOKUP(C1329,Lookups!$A$3:$C$7,3,FALSE),"UNMAPPED")</f>
        <v/>
      </c>
    </row>
    <row r="1330">
      <c r="A1330" s="5" t="n">
        <v>46173</v>
      </c>
      <c r="B1330" t="inlineStr">
        <is>
          <t>PL</t>
        </is>
      </c>
      <c r="C1330" t="inlineStr">
        <is>
          <t>CC_CONSOL</t>
        </is>
      </c>
      <c r="D1330" t="inlineStr">
        <is>
          <t>1-29</t>
        </is>
      </c>
      <c r="E1330" t="n">
        <v>1</v>
      </c>
      <c r="F1330" t="n">
        <v>4</v>
      </c>
      <c r="G1330" t="n">
        <v>94348.42</v>
      </c>
      <c r="H1330">
        <f>IFERROR(VLOOKUP(C1330,Lookups!$A$3:$C$7,3,FALSE),"UNMAPPED")</f>
        <v/>
      </c>
    </row>
    <row r="1331">
      <c r="A1331" s="5" t="n">
        <v>46173</v>
      </c>
      <c r="B1331" t="inlineStr">
        <is>
          <t>PL</t>
        </is>
      </c>
      <c r="C1331" t="inlineStr">
        <is>
          <t>CC_CONSOL</t>
        </is>
      </c>
      <c r="D1331" t="inlineStr">
        <is>
          <t>30-59</t>
        </is>
      </c>
      <c r="E1331" t="n">
        <v>30</v>
      </c>
      <c r="F1331" t="n">
        <v>1</v>
      </c>
      <c r="G1331" t="n">
        <v>47525.76</v>
      </c>
      <c r="H1331">
        <f>IFERROR(VLOOKUP(C1331,Lookups!$A$3:$C$7,3,FALSE),"UNMAPPED")</f>
        <v/>
      </c>
    </row>
    <row r="1332">
      <c r="A1332" s="5" t="n">
        <v>46173</v>
      </c>
      <c r="B1332" t="inlineStr">
        <is>
          <t>PL</t>
        </is>
      </c>
      <c r="C1332" t="inlineStr">
        <is>
          <t>CC_CONSOL</t>
        </is>
      </c>
      <c r="D1332" t="inlineStr">
        <is>
          <t>60-89</t>
        </is>
      </c>
      <c r="E1332" t="n">
        <v>60</v>
      </c>
      <c r="F1332" t="n">
        <v>2</v>
      </c>
      <c r="G1332" t="n">
        <v>90736.12</v>
      </c>
      <c r="H1332">
        <f>IFERROR(VLOOKUP(C1332,Lookups!$A$3:$C$7,3,FALSE),"UNMAPPED")</f>
        <v/>
      </c>
    </row>
    <row r="1333">
      <c r="A1333" s="5" t="n">
        <v>46173</v>
      </c>
      <c r="B1333" t="inlineStr">
        <is>
          <t>PL</t>
        </is>
      </c>
      <c r="C1333" t="inlineStr">
        <is>
          <t>CC_CONSOL</t>
        </is>
      </c>
      <c r="D1333" t="inlineStr">
        <is>
          <t>90-179</t>
        </is>
      </c>
      <c r="E1333" t="n">
        <v>90</v>
      </c>
      <c r="F1333" t="n">
        <v>4</v>
      </c>
      <c r="G1333" t="n">
        <v>131835.73</v>
      </c>
      <c r="H1333">
        <f>IFERROR(VLOOKUP(C1333,Lookups!$A$3:$C$7,3,FALSE),"UNMAPPED")</f>
        <v/>
      </c>
    </row>
    <row r="1334">
      <c r="A1334" s="5" t="n">
        <v>46173</v>
      </c>
      <c r="B1334" t="inlineStr">
        <is>
          <t>PL</t>
        </is>
      </c>
      <c r="C1334" t="inlineStr">
        <is>
          <t>CC_GOLD</t>
        </is>
      </c>
      <c r="D1334" t="inlineStr">
        <is>
          <t>Current</t>
        </is>
      </c>
      <c r="E1334" t="n">
        <v>0</v>
      </c>
      <c r="F1334" t="n">
        <v>582</v>
      </c>
      <c r="G1334" t="n">
        <v>6135745.62</v>
      </c>
      <c r="H1334">
        <f>IFERROR(VLOOKUP(C1334,Lookups!$A$3:$C$7,3,FALSE),"UNMAPPED")</f>
        <v/>
      </c>
    </row>
    <row r="1335">
      <c r="A1335" s="5" t="n">
        <v>46173</v>
      </c>
      <c r="B1335" t="inlineStr">
        <is>
          <t>PL</t>
        </is>
      </c>
      <c r="C1335" t="inlineStr">
        <is>
          <t>CC_GOLD</t>
        </is>
      </c>
      <c r="D1335" t="inlineStr">
        <is>
          <t>1-29</t>
        </is>
      </c>
      <c r="E1335" t="n">
        <v>1</v>
      </c>
      <c r="F1335" t="n">
        <v>13</v>
      </c>
      <c r="G1335" t="n">
        <v>161787.83</v>
      </c>
      <c r="H1335">
        <f>IFERROR(VLOOKUP(C1335,Lookups!$A$3:$C$7,3,FALSE),"UNMAPPED")</f>
        <v/>
      </c>
    </row>
    <row r="1336">
      <c r="A1336" s="5" t="n">
        <v>46173</v>
      </c>
      <c r="B1336" t="inlineStr">
        <is>
          <t>PL</t>
        </is>
      </c>
      <c r="C1336" t="inlineStr">
        <is>
          <t>CC_GOLD</t>
        </is>
      </c>
      <c r="D1336" t="inlineStr">
        <is>
          <t>30-59</t>
        </is>
      </c>
      <c r="E1336" t="n">
        <v>30</v>
      </c>
      <c r="F1336" t="n">
        <v>5</v>
      </c>
      <c r="G1336" t="n">
        <v>42352.55</v>
      </c>
      <c r="H1336">
        <f>IFERROR(VLOOKUP(C1336,Lookups!$A$3:$C$7,3,FALSE),"UNMAPPED")</f>
        <v/>
      </c>
    </row>
    <row r="1337">
      <c r="A1337" s="5" t="n">
        <v>46173</v>
      </c>
      <c r="B1337" t="inlineStr">
        <is>
          <t>PL</t>
        </is>
      </c>
      <c r="C1337" t="inlineStr">
        <is>
          <t>CC_GOLD</t>
        </is>
      </c>
      <c r="D1337" t="inlineStr">
        <is>
          <t>60-89</t>
        </is>
      </c>
      <c r="E1337" t="n">
        <v>60</v>
      </c>
      <c r="F1337" t="n">
        <v>3</v>
      </c>
      <c r="G1337" t="n">
        <v>44109.24</v>
      </c>
      <c r="H1337">
        <f>IFERROR(VLOOKUP(C1337,Lookups!$A$3:$C$7,3,FALSE),"UNMAPPED")</f>
        <v/>
      </c>
    </row>
    <row r="1338">
      <c r="A1338" s="5" t="n">
        <v>46173</v>
      </c>
      <c r="B1338" t="inlineStr">
        <is>
          <t>PL</t>
        </is>
      </c>
      <c r="C1338" t="inlineStr">
        <is>
          <t>CC_GOLD</t>
        </is>
      </c>
      <c r="D1338" t="inlineStr">
        <is>
          <t>90-179</t>
        </is>
      </c>
      <c r="E1338" t="n">
        <v>90</v>
      </c>
      <c r="F1338" t="n">
        <v>6</v>
      </c>
      <c r="G1338" t="n">
        <v>55949.44</v>
      </c>
      <c r="H1338">
        <f>IFERROR(VLOOKUP(C1338,Lookups!$A$3:$C$7,3,FALSE),"UNMAPPED")</f>
        <v/>
      </c>
    </row>
    <row r="1339">
      <c r="A1339" s="5" t="n">
        <v>46173</v>
      </c>
      <c r="B1339" t="inlineStr">
        <is>
          <t>PL</t>
        </is>
      </c>
      <c r="C1339" t="inlineStr">
        <is>
          <t>PL_PREM</t>
        </is>
      </c>
      <c r="D1339" t="inlineStr">
        <is>
          <t>Current</t>
        </is>
      </c>
      <c r="E1339" t="n">
        <v>0</v>
      </c>
      <c r="F1339" t="n">
        <v>596</v>
      </c>
      <c r="G1339" t="n">
        <v>22682429.99</v>
      </c>
      <c r="H1339">
        <f>IFERROR(VLOOKUP(C1339,Lookups!$A$3:$C$7,3,FALSE),"UNMAPPED")</f>
        <v/>
      </c>
    </row>
    <row r="1340">
      <c r="A1340" s="5" t="n">
        <v>46173</v>
      </c>
      <c r="B1340" t="inlineStr">
        <is>
          <t>PL</t>
        </is>
      </c>
      <c r="C1340" t="inlineStr">
        <is>
          <t>PL_PREM</t>
        </is>
      </c>
      <c r="D1340" t="inlineStr">
        <is>
          <t>1-29</t>
        </is>
      </c>
      <c r="E1340" t="n">
        <v>1</v>
      </c>
      <c r="F1340" t="n">
        <v>16</v>
      </c>
      <c r="G1340" t="n">
        <v>673080.03</v>
      </c>
      <c r="H1340">
        <f>IFERROR(VLOOKUP(C1340,Lookups!$A$3:$C$7,3,FALSE),"UNMAPPED")</f>
        <v/>
      </c>
    </row>
    <row r="1341">
      <c r="A1341" s="5" t="n">
        <v>46173</v>
      </c>
      <c r="B1341" t="inlineStr">
        <is>
          <t>PL</t>
        </is>
      </c>
      <c r="C1341" t="inlineStr">
        <is>
          <t>PL_PREM</t>
        </is>
      </c>
      <c r="D1341" t="inlineStr">
        <is>
          <t>30-59</t>
        </is>
      </c>
      <c r="E1341" t="n">
        <v>30</v>
      </c>
      <c r="F1341" t="n">
        <v>4</v>
      </c>
      <c r="G1341" t="n">
        <v>107417.92</v>
      </c>
      <c r="H1341">
        <f>IFERROR(VLOOKUP(C1341,Lookups!$A$3:$C$7,3,FALSE),"UNMAPPED")</f>
        <v/>
      </c>
    </row>
    <row r="1342">
      <c r="A1342" s="5" t="n">
        <v>46173</v>
      </c>
      <c r="B1342" t="inlineStr">
        <is>
          <t>PL</t>
        </is>
      </c>
      <c r="C1342" t="inlineStr">
        <is>
          <t>PL_PREM</t>
        </is>
      </c>
      <c r="D1342" t="inlineStr">
        <is>
          <t>60-89</t>
        </is>
      </c>
      <c r="E1342" t="n">
        <v>60</v>
      </c>
      <c r="F1342" t="n">
        <v>4</v>
      </c>
      <c r="G1342" t="n">
        <v>208579.79</v>
      </c>
      <c r="H1342">
        <f>IFERROR(VLOOKUP(C1342,Lookups!$A$3:$C$7,3,FALSE),"UNMAPPED")</f>
        <v/>
      </c>
    </row>
    <row r="1343">
      <c r="A1343" s="5" t="n">
        <v>46173</v>
      </c>
      <c r="B1343" t="inlineStr">
        <is>
          <t>PL</t>
        </is>
      </c>
      <c r="C1343" t="inlineStr">
        <is>
          <t>PL_PREM</t>
        </is>
      </c>
      <c r="D1343" t="inlineStr">
        <is>
          <t>90-179</t>
        </is>
      </c>
      <c r="E1343" t="n">
        <v>90</v>
      </c>
      <c r="F1343" t="n">
        <v>10</v>
      </c>
      <c r="G1343" t="n">
        <v>401416.29</v>
      </c>
      <c r="H1343">
        <f>IFERROR(VLOOKUP(C1343,Lookups!$A$3:$C$7,3,FALSE),"UNMAPPED")</f>
        <v/>
      </c>
    </row>
    <row r="1344">
      <c r="A1344" s="5" t="n">
        <v>46173</v>
      </c>
      <c r="B1344" t="inlineStr">
        <is>
          <t>PL</t>
        </is>
      </c>
      <c r="C1344" t="inlineStr">
        <is>
          <t>PL_STD</t>
        </is>
      </c>
      <c r="D1344" t="inlineStr">
        <is>
          <t>Current</t>
        </is>
      </c>
      <c r="E1344" t="n">
        <v>0</v>
      </c>
      <c r="F1344" t="n">
        <v>1202</v>
      </c>
      <c r="G1344" t="n">
        <v>13641009.85</v>
      </c>
      <c r="H1344">
        <f>IFERROR(VLOOKUP(C1344,Lookups!$A$3:$C$7,3,FALSE),"UNMAPPED")</f>
        <v/>
      </c>
    </row>
    <row r="1345">
      <c r="A1345" s="5" t="n">
        <v>46173</v>
      </c>
      <c r="B1345" t="inlineStr">
        <is>
          <t>PL</t>
        </is>
      </c>
      <c r="C1345" t="inlineStr">
        <is>
          <t>PL_STD</t>
        </is>
      </c>
      <c r="D1345" t="inlineStr">
        <is>
          <t>1-29</t>
        </is>
      </c>
      <c r="E1345" t="n">
        <v>1</v>
      </c>
      <c r="F1345" t="n">
        <v>18</v>
      </c>
      <c r="G1345" t="n">
        <v>200174.11</v>
      </c>
      <c r="H1345">
        <f>IFERROR(VLOOKUP(C1345,Lookups!$A$3:$C$7,3,FALSE),"UNMAPPED")</f>
        <v/>
      </c>
    </row>
    <row r="1346">
      <c r="A1346" s="5" t="n">
        <v>46173</v>
      </c>
      <c r="B1346" t="inlineStr">
        <is>
          <t>PL</t>
        </is>
      </c>
      <c r="C1346" t="inlineStr">
        <is>
          <t>PL_STD</t>
        </is>
      </c>
      <c r="D1346" t="inlineStr">
        <is>
          <t>30-59</t>
        </is>
      </c>
      <c r="E1346" t="n">
        <v>30</v>
      </c>
      <c r="F1346" t="n">
        <v>19</v>
      </c>
      <c r="G1346" t="n">
        <v>162450.16</v>
      </c>
      <c r="H1346">
        <f>IFERROR(VLOOKUP(C1346,Lookups!$A$3:$C$7,3,FALSE),"UNMAPPED")</f>
        <v/>
      </c>
    </row>
    <row r="1347">
      <c r="A1347" s="5" t="n">
        <v>46173</v>
      </c>
      <c r="B1347" t="inlineStr">
        <is>
          <t>PL</t>
        </is>
      </c>
      <c r="C1347" t="inlineStr">
        <is>
          <t>PL_STD</t>
        </is>
      </c>
      <c r="D1347" t="inlineStr">
        <is>
          <t>60-89</t>
        </is>
      </c>
      <c r="E1347" t="n">
        <v>60</v>
      </c>
      <c r="F1347" t="n">
        <v>10</v>
      </c>
      <c r="G1347" t="n">
        <v>129174.43</v>
      </c>
      <c r="H1347">
        <f>IFERROR(VLOOKUP(C1347,Lookups!$A$3:$C$7,3,FALSE),"UNMAPPED")</f>
        <v/>
      </c>
    </row>
    <row r="1348">
      <c r="A1348" s="5" t="n">
        <v>46173</v>
      </c>
      <c r="B1348" t="inlineStr">
        <is>
          <t>PL</t>
        </is>
      </c>
      <c r="C1348" t="inlineStr">
        <is>
          <t>PL_STD</t>
        </is>
      </c>
      <c r="D1348" t="inlineStr">
        <is>
          <t>90-179</t>
        </is>
      </c>
      <c r="E1348" t="n">
        <v>90</v>
      </c>
      <c r="F1348" t="n">
        <v>23</v>
      </c>
      <c r="G1348" t="n">
        <v>289222.12</v>
      </c>
      <c r="H1348">
        <f>IFERROR(VLOOKUP(C1348,Lookups!$A$3:$C$7,3,FALSE),"UNMAPPED")</f>
        <v/>
      </c>
    </row>
    <row r="1349">
      <c r="A1349" s="5" t="n">
        <v>46173</v>
      </c>
      <c r="B1349" t="inlineStr">
        <is>
          <t>RO</t>
        </is>
      </c>
      <c r="C1349" t="inlineStr">
        <is>
          <t>CC_CLASSIC</t>
        </is>
      </c>
      <c r="D1349" t="inlineStr">
        <is>
          <t>Current</t>
        </is>
      </c>
      <c r="E1349" t="n">
        <v>0</v>
      </c>
      <c r="F1349" t="n">
        <v>1157</v>
      </c>
      <c r="G1349" t="n">
        <v>3997642.18</v>
      </c>
      <c r="H1349">
        <f>IFERROR(VLOOKUP(C1349,Lookups!$A$3:$C$7,3,FALSE),"UNMAPPED")</f>
        <v/>
      </c>
    </row>
    <row r="1350">
      <c r="A1350" s="5" t="n">
        <v>46173</v>
      </c>
      <c r="B1350" t="inlineStr">
        <is>
          <t>RO</t>
        </is>
      </c>
      <c r="C1350" t="inlineStr">
        <is>
          <t>CC_CLASSIC</t>
        </is>
      </c>
      <c r="D1350" t="inlineStr">
        <is>
          <t>1-29</t>
        </is>
      </c>
      <c r="E1350" t="n">
        <v>1</v>
      </c>
      <c r="F1350" t="n">
        <v>20</v>
      </c>
      <c r="G1350" t="n">
        <v>62114.66</v>
      </c>
      <c r="H1350">
        <f>IFERROR(VLOOKUP(C1350,Lookups!$A$3:$C$7,3,FALSE),"UNMAPPED")</f>
        <v/>
      </c>
    </row>
    <row r="1351">
      <c r="A1351" s="5" t="n">
        <v>46173</v>
      </c>
      <c r="B1351" t="inlineStr">
        <is>
          <t>RO</t>
        </is>
      </c>
      <c r="C1351" t="inlineStr">
        <is>
          <t>CC_CLASSIC</t>
        </is>
      </c>
      <c r="D1351" t="inlineStr">
        <is>
          <t>30-59</t>
        </is>
      </c>
      <c r="E1351" t="n">
        <v>30</v>
      </c>
      <c r="F1351" t="n">
        <v>20</v>
      </c>
      <c r="G1351" t="n">
        <v>96698.48</v>
      </c>
      <c r="H1351">
        <f>IFERROR(VLOOKUP(C1351,Lookups!$A$3:$C$7,3,FALSE),"UNMAPPED")</f>
        <v/>
      </c>
    </row>
    <row r="1352">
      <c r="A1352" s="5" t="n">
        <v>46173</v>
      </c>
      <c r="B1352" t="inlineStr">
        <is>
          <t>RO</t>
        </is>
      </c>
      <c r="C1352" t="inlineStr">
        <is>
          <t>CC_CLASSIC</t>
        </is>
      </c>
      <c r="D1352" t="inlineStr">
        <is>
          <t>60-89</t>
        </is>
      </c>
      <c r="E1352" t="n">
        <v>60</v>
      </c>
      <c r="F1352" t="n">
        <v>11</v>
      </c>
      <c r="G1352" t="n">
        <v>44903.73</v>
      </c>
      <c r="H1352">
        <f>IFERROR(VLOOKUP(C1352,Lookups!$A$3:$C$7,3,FALSE),"UNMAPPED")</f>
        <v/>
      </c>
    </row>
    <row r="1353">
      <c r="A1353" s="5" t="n">
        <v>46173</v>
      </c>
      <c r="B1353" t="inlineStr">
        <is>
          <t>RO</t>
        </is>
      </c>
      <c r="C1353" t="inlineStr">
        <is>
          <t>CC_CLASSIC</t>
        </is>
      </c>
      <c r="D1353" t="inlineStr">
        <is>
          <t>90-179</t>
        </is>
      </c>
      <c r="E1353" t="n">
        <v>90</v>
      </c>
      <c r="F1353" t="n">
        <v>24</v>
      </c>
      <c r="G1353" t="n">
        <v>91421.95</v>
      </c>
      <c r="H1353">
        <f>IFERROR(VLOOKUP(C1353,Lookups!$A$3:$C$7,3,FALSE),"UNMAPPED")</f>
        <v/>
      </c>
    </row>
    <row r="1354">
      <c r="A1354" s="5" t="n">
        <v>46173</v>
      </c>
      <c r="B1354" t="inlineStr">
        <is>
          <t>RO</t>
        </is>
      </c>
      <c r="C1354" t="inlineStr">
        <is>
          <t>CC_CONSOL</t>
        </is>
      </c>
      <c r="D1354" t="inlineStr">
        <is>
          <t>Current</t>
        </is>
      </c>
      <c r="E1354" t="n">
        <v>0</v>
      </c>
      <c r="F1354" t="n">
        <v>127</v>
      </c>
      <c r="G1354" t="n">
        <v>3756754.65</v>
      </c>
      <c r="H1354">
        <f>IFERROR(VLOOKUP(C1354,Lookups!$A$3:$C$7,3,FALSE),"UNMAPPED")</f>
        <v/>
      </c>
    </row>
    <row r="1355">
      <c r="A1355" s="5" t="n">
        <v>46173</v>
      </c>
      <c r="B1355" t="inlineStr">
        <is>
          <t>RO</t>
        </is>
      </c>
      <c r="C1355" t="inlineStr">
        <is>
          <t>CC_CONSOL</t>
        </is>
      </c>
      <c r="D1355" t="inlineStr">
        <is>
          <t>1-29</t>
        </is>
      </c>
      <c r="E1355" t="n">
        <v>1</v>
      </c>
      <c r="F1355" t="n">
        <v>3</v>
      </c>
      <c r="G1355" t="n">
        <v>69279.7</v>
      </c>
      <c r="H1355">
        <f>IFERROR(VLOOKUP(C1355,Lookups!$A$3:$C$7,3,FALSE),"UNMAPPED")</f>
        <v/>
      </c>
    </row>
    <row r="1356">
      <c r="A1356" s="5" t="n">
        <v>46173</v>
      </c>
      <c r="B1356" t="inlineStr">
        <is>
          <t>RO</t>
        </is>
      </c>
      <c r="C1356" t="inlineStr">
        <is>
          <t>CC_CONSOL</t>
        </is>
      </c>
      <c r="D1356" t="inlineStr">
        <is>
          <t>60-89</t>
        </is>
      </c>
      <c r="E1356" t="n">
        <v>60</v>
      </c>
      <c r="F1356" t="n">
        <v>1</v>
      </c>
      <c r="G1356" t="n">
        <v>40893</v>
      </c>
      <c r="H1356">
        <f>IFERROR(VLOOKUP(C1356,Lookups!$A$3:$C$7,3,FALSE),"UNMAPPED")</f>
        <v/>
      </c>
    </row>
    <row r="1357">
      <c r="A1357" s="5" t="n">
        <v>46173</v>
      </c>
      <c r="B1357" t="inlineStr">
        <is>
          <t>RO</t>
        </is>
      </c>
      <c r="C1357" t="inlineStr">
        <is>
          <t>CC_CONSOL</t>
        </is>
      </c>
      <c r="D1357" t="inlineStr">
        <is>
          <t>90-179</t>
        </is>
      </c>
      <c r="E1357" t="n">
        <v>90</v>
      </c>
      <c r="F1357" t="n">
        <v>2</v>
      </c>
      <c r="G1357" t="n">
        <v>94138.45</v>
      </c>
      <c r="H1357">
        <f>IFERROR(VLOOKUP(C1357,Lookups!$A$3:$C$7,3,FALSE),"UNMAPPED")</f>
        <v/>
      </c>
    </row>
    <row r="1358">
      <c r="A1358" s="5" t="n">
        <v>46173</v>
      </c>
      <c r="B1358" t="inlineStr">
        <is>
          <t>RO</t>
        </is>
      </c>
      <c r="C1358" t="inlineStr">
        <is>
          <t>CC_GOLD</t>
        </is>
      </c>
      <c r="D1358" t="inlineStr">
        <is>
          <t>Current</t>
        </is>
      </c>
      <c r="E1358" t="n">
        <v>0</v>
      </c>
      <c r="F1358" t="n">
        <v>331</v>
      </c>
      <c r="G1358" t="n">
        <v>3723443.52</v>
      </c>
      <c r="H1358">
        <f>IFERROR(VLOOKUP(C1358,Lookups!$A$3:$C$7,3,FALSE),"UNMAPPED")</f>
        <v/>
      </c>
    </row>
    <row r="1359">
      <c r="A1359" s="5" t="n">
        <v>46173</v>
      </c>
      <c r="B1359" t="inlineStr">
        <is>
          <t>RO</t>
        </is>
      </c>
      <c r="C1359" t="inlineStr">
        <is>
          <t>CC_GOLD</t>
        </is>
      </c>
      <c r="D1359" t="inlineStr">
        <is>
          <t>1-29</t>
        </is>
      </c>
      <c r="E1359" t="n">
        <v>1</v>
      </c>
      <c r="F1359" t="n">
        <v>9</v>
      </c>
      <c r="G1359" t="n">
        <v>134208.4</v>
      </c>
      <c r="H1359">
        <f>IFERROR(VLOOKUP(C1359,Lookups!$A$3:$C$7,3,FALSE),"UNMAPPED")</f>
        <v/>
      </c>
    </row>
    <row r="1360">
      <c r="A1360" s="5" t="n">
        <v>46173</v>
      </c>
      <c r="B1360" t="inlineStr">
        <is>
          <t>RO</t>
        </is>
      </c>
      <c r="C1360" t="inlineStr">
        <is>
          <t>CC_GOLD</t>
        </is>
      </c>
      <c r="D1360" t="inlineStr">
        <is>
          <t>30-59</t>
        </is>
      </c>
      <c r="E1360" t="n">
        <v>30</v>
      </c>
      <c r="F1360" t="n">
        <v>6</v>
      </c>
      <c r="G1360" t="n">
        <v>78883.88</v>
      </c>
      <c r="H1360">
        <f>IFERROR(VLOOKUP(C1360,Lookups!$A$3:$C$7,3,FALSE),"UNMAPPED")</f>
        <v/>
      </c>
    </row>
    <row r="1361">
      <c r="A1361" s="5" t="n">
        <v>46173</v>
      </c>
      <c r="B1361" t="inlineStr">
        <is>
          <t>RO</t>
        </is>
      </c>
      <c r="C1361" t="inlineStr">
        <is>
          <t>CC_GOLD</t>
        </is>
      </c>
      <c r="D1361" t="inlineStr">
        <is>
          <t>60-89</t>
        </is>
      </c>
      <c r="E1361" t="n">
        <v>60</v>
      </c>
      <c r="F1361" t="n">
        <v>2</v>
      </c>
      <c r="G1361" t="n">
        <v>31453.09</v>
      </c>
      <c r="H1361">
        <f>IFERROR(VLOOKUP(C1361,Lookups!$A$3:$C$7,3,FALSE),"UNMAPPED")</f>
        <v/>
      </c>
    </row>
    <row r="1362">
      <c r="A1362" s="5" t="n">
        <v>46173</v>
      </c>
      <c r="B1362" t="inlineStr">
        <is>
          <t>RO</t>
        </is>
      </c>
      <c r="C1362" t="inlineStr">
        <is>
          <t>CC_GOLD</t>
        </is>
      </c>
      <c r="D1362" t="inlineStr">
        <is>
          <t>90-179</t>
        </is>
      </c>
      <c r="E1362" t="n">
        <v>90</v>
      </c>
      <c r="F1362" t="n">
        <v>7</v>
      </c>
      <c r="G1362" t="n">
        <v>73468.38</v>
      </c>
      <c r="H1362">
        <f>IFERROR(VLOOKUP(C1362,Lookups!$A$3:$C$7,3,FALSE),"UNMAPPED")</f>
        <v/>
      </c>
    </row>
    <row r="1363">
      <c r="A1363" s="5" t="n">
        <v>46173</v>
      </c>
      <c r="B1363" t="inlineStr">
        <is>
          <t>RO</t>
        </is>
      </c>
      <c r="C1363" t="inlineStr">
        <is>
          <t>PL_PREM</t>
        </is>
      </c>
      <c r="D1363" t="inlineStr">
        <is>
          <t>Current</t>
        </is>
      </c>
      <c r="E1363" t="n">
        <v>0</v>
      </c>
      <c r="F1363" t="n">
        <v>344</v>
      </c>
      <c r="G1363" t="n">
        <v>15145503.76</v>
      </c>
      <c r="H1363">
        <f>IFERROR(VLOOKUP(C1363,Lookups!$A$3:$C$7,3,FALSE),"UNMAPPED")</f>
        <v/>
      </c>
    </row>
    <row r="1364">
      <c r="A1364" s="5" t="n">
        <v>46173</v>
      </c>
      <c r="B1364" t="inlineStr">
        <is>
          <t>RO</t>
        </is>
      </c>
      <c r="C1364" t="inlineStr">
        <is>
          <t>PL_PREM</t>
        </is>
      </c>
      <c r="D1364" t="inlineStr">
        <is>
          <t>1-29</t>
        </is>
      </c>
      <c r="E1364" t="n">
        <v>1</v>
      </c>
      <c r="F1364" t="n">
        <v>10</v>
      </c>
      <c r="G1364" t="n">
        <v>345171.56</v>
      </c>
      <c r="H1364">
        <f>IFERROR(VLOOKUP(C1364,Lookups!$A$3:$C$7,3,FALSE),"UNMAPPED")</f>
        <v/>
      </c>
    </row>
    <row r="1365">
      <c r="A1365" s="5" t="n">
        <v>46173</v>
      </c>
      <c r="B1365" t="inlineStr">
        <is>
          <t>RO</t>
        </is>
      </c>
      <c r="C1365" t="inlineStr">
        <is>
          <t>PL_PREM</t>
        </is>
      </c>
      <c r="D1365" t="inlineStr">
        <is>
          <t>30-59</t>
        </is>
      </c>
      <c r="E1365" t="n">
        <v>30</v>
      </c>
      <c r="F1365" t="n">
        <v>7</v>
      </c>
      <c r="G1365" t="n">
        <v>337901.13</v>
      </c>
      <c r="H1365">
        <f>IFERROR(VLOOKUP(C1365,Lookups!$A$3:$C$7,3,FALSE),"UNMAPPED")</f>
        <v/>
      </c>
    </row>
    <row r="1366">
      <c r="A1366" s="5" t="n">
        <v>46173</v>
      </c>
      <c r="B1366" t="inlineStr">
        <is>
          <t>RO</t>
        </is>
      </c>
      <c r="C1366" t="inlineStr">
        <is>
          <t>PL_PREM</t>
        </is>
      </c>
      <c r="D1366" t="inlineStr">
        <is>
          <t>60-89</t>
        </is>
      </c>
      <c r="E1366" t="n">
        <v>60</v>
      </c>
      <c r="F1366" t="n">
        <v>2</v>
      </c>
      <c r="G1366" t="n">
        <v>93015.77</v>
      </c>
      <c r="H1366">
        <f>IFERROR(VLOOKUP(C1366,Lookups!$A$3:$C$7,3,FALSE),"UNMAPPED")</f>
        <v/>
      </c>
    </row>
    <row r="1367">
      <c r="A1367" s="5" t="n">
        <v>46173</v>
      </c>
      <c r="B1367" t="inlineStr">
        <is>
          <t>RO</t>
        </is>
      </c>
      <c r="C1367" t="inlineStr">
        <is>
          <t>PL_PREM</t>
        </is>
      </c>
      <c r="D1367" t="inlineStr">
        <is>
          <t>90-179</t>
        </is>
      </c>
      <c r="E1367" t="n">
        <v>90</v>
      </c>
      <c r="F1367" t="n">
        <v>5</v>
      </c>
      <c r="G1367" t="n">
        <v>234962.63</v>
      </c>
      <c r="H1367">
        <f>IFERROR(VLOOKUP(C1367,Lookups!$A$3:$C$7,3,FALSE),"UNMAPPED")</f>
        <v/>
      </c>
    </row>
    <row r="1368">
      <c r="A1368" s="5" t="n">
        <v>46173</v>
      </c>
      <c r="B1368" t="inlineStr">
        <is>
          <t>RO</t>
        </is>
      </c>
      <c r="C1368" t="inlineStr">
        <is>
          <t>PL_STD</t>
        </is>
      </c>
      <c r="D1368" t="inlineStr">
        <is>
          <t>Current</t>
        </is>
      </c>
      <c r="E1368" t="n">
        <v>0</v>
      </c>
      <c r="F1368" t="n">
        <v>769</v>
      </c>
      <c r="G1368" t="n">
        <v>10405975.51</v>
      </c>
      <c r="H1368">
        <f>IFERROR(VLOOKUP(C1368,Lookups!$A$3:$C$7,3,FALSE),"UNMAPPED")</f>
        <v/>
      </c>
    </row>
    <row r="1369">
      <c r="A1369" s="5" t="n">
        <v>46173</v>
      </c>
      <c r="B1369" t="inlineStr">
        <is>
          <t>RO</t>
        </is>
      </c>
      <c r="C1369" t="inlineStr">
        <is>
          <t>PL_STD</t>
        </is>
      </c>
      <c r="D1369" t="inlineStr">
        <is>
          <t>1-29</t>
        </is>
      </c>
      <c r="E1369" t="n">
        <v>1</v>
      </c>
      <c r="F1369" t="n">
        <v>20</v>
      </c>
      <c r="G1369" t="n">
        <v>292004.01</v>
      </c>
      <c r="H1369">
        <f>IFERROR(VLOOKUP(C1369,Lookups!$A$3:$C$7,3,FALSE),"UNMAPPED")</f>
        <v/>
      </c>
    </row>
    <row r="1370">
      <c r="A1370" s="5" t="n">
        <v>46173</v>
      </c>
      <c r="B1370" t="inlineStr">
        <is>
          <t>RO</t>
        </is>
      </c>
      <c r="C1370" t="inlineStr">
        <is>
          <t>PL_STD</t>
        </is>
      </c>
      <c r="D1370" t="inlineStr">
        <is>
          <t>30-59</t>
        </is>
      </c>
      <c r="E1370" t="n">
        <v>30</v>
      </c>
      <c r="F1370" t="n">
        <v>10</v>
      </c>
      <c r="G1370" t="n">
        <v>183395.98</v>
      </c>
      <c r="H1370">
        <f>IFERROR(VLOOKUP(C1370,Lookups!$A$3:$C$7,3,FALSE),"UNMAPPED")</f>
        <v/>
      </c>
    </row>
    <row r="1371">
      <c r="A1371" s="5" t="n">
        <v>46173</v>
      </c>
      <c r="B1371" t="inlineStr">
        <is>
          <t>RO</t>
        </is>
      </c>
      <c r="C1371" t="inlineStr">
        <is>
          <t>PL_STD</t>
        </is>
      </c>
      <c r="D1371" t="inlineStr">
        <is>
          <t>60-89</t>
        </is>
      </c>
      <c r="E1371" t="n">
        <v>60</v>
      </c>
      <c r="F1371" t="n">
        <v>8</v>
      </c>
      <c r="G1371" t="n">
        <v>118387.29</v>
      </c>
      <c r="H1371">
        <f>IFERROR(VLOOKUP(C1371,Lookups!$A$3:$C$7,3,FALSE),"UNMAPPED")</f>
        <v/>
      </c>
    </row>
    <row r="1372">
      <c r="A1372" s="5" t="n">
        <v>46173</v>
      </c>
      <c r="B1372" t="inlineStr">
        <is>
          <t>RO</t>
        </is>
      </c>
      <c r="C1372" t="inlineStr">
        <is>
          <t>PL_STD</t>
        </is>
      </c>
      <c r="D1372" t="inlineStr">
        <is>
          <t>90-179</t>
        </is>
      </c>
      <c r="E1372" t="n">
        <v>90</v>
      </c>
      <c r="F1372" t="n">
        <v>19</v>
      </c>
      <c r="G1372" t="n">
        <v>307273.5</v>
      </c>
      <c r="H1372">
        <f>IFERROR(VLOOKUP(C1372,Lookups!$A$3:$C$7,3,FALSE),"UNMAPPED")</f>
        <v/>
      </c>
    </row>
    <row r="1373">
      <c r="A1373" s="5" t="n">
        <v>46203</v>
      </c>
      <c r="B1373" t="inlineStr">
        <is>
          <t>CZ</t>
        </is>
      </c>
      <c r="C1373" t="inlineStr">
        <is>
          <t>CC_CLASSIC</t>
        </is>
      </c>
      <c r="D1373" t="inlineStr">
        <is>
          <t>Current</t>
        </is>
      </c>
      <c r="E1373" t="n">
        <v>0</v>
      </c>
      <c r="F1373" t="n">
        <v>1577</v>
      </c>
      <c r="G1373" t="n">
        <v>26732217.09</v>
      </c>
      <c r="H1373">
        <f>IFERROR(VLOOKUP(C1373,Lookups!$A$3:$C$7,3,FALSE),"UNMAPPED")</f>
        <v/>
      </c>
    </row>
    <row r="1374">
      <c r="A1374" s="5" t="n">
        <v>46203</v>
      </c>
      <c r="B1374" t="inlineStr">
        <is>
          <t>CZ</t>
        </is>
      </c>
      <c r="C1374" t="inlineStr">
        <is>
          <t>CC_CLASSIC</t>
        </is>
      </c>
      <c r="D1374" t="inlineStr">
        <is>
          <t>1-29</t>
        </is>
      </c>
      <c r="E1374" t="n">
        <v>1</v>
      </c>
      <c r="F1374" t="n">
        <v>17</v>
      </c>
      <c r="G1374" t="n">
        <v>314359.79</v>
      </c>
      <c r="H1374">
        <f>IFERROR(VLOOKUP(C1374,Lookups!$A$3:$C$7,3,FALSE),"UNMAPPED")</f>
        <v/>
      </c>
    </row>
    <row r="1375">
      <c r="A1375" s="5" t="n">
        <v>46203</v>
      </c>
      <c r="B1375" t="inlineStr">
        <is>
          <t>CZ</t>
        </is>
      </c>
      <c r="C1375" t="inlineStr">
        <is>
          <t>CC_CLASSIC</t>
        </is>
      </c>
      <c r="D1375" t="inlineStr">
        <is>
          <t>30-59</t>
        </is>
      </c>
      <c r="E1375" t="n">
        <v>30</v>
      </c>
      <c r="F1375" t="n">
        <v>18</v>
      </c>
      <c r="G1375" t="n">
        <v>346169.67</v>
      </c>
      <c r="H1375">
        <f>IFERROR(VLOOKUP(C1375,Lookups!$A$3:$C$7,3,FALSE),"UNMAPPED")</f>
        <v/>
      </c>
    </row>
    <row r="1376">
      <c r="A1376" s="5" t="n">
        <v>46203</v>
      </c>
      <c r="B1376" t="inlineStr">
        <is>
          <t>CZ</t>
        </is>
      </c>
      <c r="C1376" t="inlineStr">
        <is>
          <t>CC_CLASSIC</t>
        </is>
      </c>
      <c r="D1376" t="inlineStr">
        <is>
          <t>60-89</t>
        </is>
      </c>
      <c r="E1376" t="n">
        <v>60</v>
      </c>
      <c r="F1376" t="n">
        <v>6</v>
      </c>
      <c r="G1376" t="n">
        <v>133806.59</v>
      </c>
      <c r="H1376">
        <f>IFERROR(VLOOKUP(C1376,Lookups!$A$3:$C$7,3,FALSE),"UNMAPPED")</f>
        <v/>
      </c>
    </row>
    <row r="1377">
      <c r="A1377" s="5" t="n">
        <v>46203</v>
      </c>
      <c r="B1377" t="inlineStr">
        <is>
          <t>CZ</t>
        </is>
      </c>
      <c r="C1377" t="inlineStr">
        <is>
          <t>CC_CLASSIC</t>
        </is>
      </c>
      <c r="D1377" t="inlineStr">
        <is>
          <t>90-179</t>
        </is>
      </c>
      <c r="E1377" t="n">
        <v>90</v>
      </c>
      <c r="F1377" t="n">
        <v>30</v>
      </c>
      <c r="G1377" t="n">
        <v>535326.9399999999</v>
      </c>
      <c r="H1377">
        <f>IFERROR(VLOOKUP(C1377,Lookups!$A$3:$C$7,3,FALSE),"UNMAPPED")</f>
        <v/>
      </c>
    </row>
    <row r="1378">
      <c r="A1378" s="5" t="n">
        <v>46203</v>
      </c>
      <c r="B1378" t="inlineStr">
        <is>
          <t>CZ</t>
        </is>
      </c>
      <c r="C1378" t="inlineStr">
        <is>
          <t>CC_CONSOL</t>
        </is>
      </c>
      <c r="D1378" t="inlineStr">
        <is>
          <t>Current</t>
        </is>
      </c>
      <c r="E1378" t="n">
        <v>0</v>
      </c>
      <c r="F1378" t="n">
        <v>182</v>
      </c>
      <c r="G1378" t="n">
        <v>24929218.7</v>
      </c>
      <c r="H1378">
        <f>IFERROR(VLOOKUP(C1378,Lookups!$A$3:$C$7,3,FALSE),"UNMAPPED")</f>
        <v/>
      </c>
    </row>
    <row r="1379">
      <c r="A1379" s="5" t="n">
        <v>46203</v>
      </c>
      <c r="B1379" t="inlineStr">
        <is>
          <t>CZ</t>
        </is>
      </c>
      <c r="C1379" t="inlineStr">
        <is>
          <t>CC_CONSOL</t>
        </is>
      </c>
      <c r="D1379" t="inlineStr">
        <is>
          <t>1-29</t>
        </is>
      </c>
      <c r="E1379" t="n">
        <v>1</v>
      </c>
      <c r="F1379" t="n">
        <v>1</v>
      </c>
      <c r="G1379" t="n">
        <v>199142.46</v>
      </c>
      <c r="H1379">
        <f>IFERROR(VLOOKUP(C1379,Lookups!$A$3:$C$7,3,FALSE),"UNMAPPED")</f>
        <v/>
      </c>
    </row>
    <row r="1380">
      <c r="A1380" s="5" t="n">
        <v>46203</v>
      </c>
      <c r="B1380" t="inlineStr">
        <is>
          <t>CZ</t>
        </is>
      </c>
      <c r="C1380" t="inlineStr">
        <is>
          <t>CC_CONSOL</t>
        </is>
      </c>
      <c r="D1380" t="inlineStr">
        <is>
          <t>30-59</t>
        </is>
      </c>
      <c r="E1380" t="n">
        <v>30</v>
      </c>
      <c r="F1380" t="n">
        <v>1</v>
      </c>
      <c r="G1380" t="n">
        <v>213343.36</v>
      </c>
      <c r="H1380">
        <f>IFERROR(VLOOKUP(C1380,Lookups!$A$3:$C$7,3,FALSE),"UNMAPPED")</f>
        <v/>
      </c>
    </row>
    <row r="1381">
      <c r="A1381" s="5" t="n">
        <v>46203</v>
      </c>
      <c r="B1381" t="inlineStr">
        <is>
          <t>CZ</t>
        </is>
      </c>
      <c r="C1381" t="inlineStr">
        <is>
          <t>CC_CONSOL</t>
        </is>
      </c>
      <c r="D1381" t="inlineStr">
        <is>
          <t>90-179</t>
        </is>
      </c>
      <c r="E1381" t="n">
        <v>90</v>
      </c>
      <c r="F1381" t="n">
        <v>1</v>
      </c>
      <c r="G1381" t="n">
        <v>116886.97</v>
      </c>
      <c r="H1381">
        <f>IFERROR(VLOOKUP(C1381,Lookups!$A$3:$C$7,3,FALSE),"UNMAPPED")</f>
        <v/>
      </c>
    </row>
    <row r="1382">
      <c r="A1382" s="5" t="n">
        <v>46203</v>
      </c>
      <c r="B1382" t="inlineStr">
        <is>
          <t>CZ</t>
        </is>
      </c>
      <c r="C1382" t="inlineStr">
        <is>
          <t>CC_GOLD</t>
        </is>
      </c>
      <c r="D1382" t="inlineStr">
        <is>
          <t>Current</t>
        </is>
      </c>
      <c r="E1382" t="n">
        <v>0</v>
      </c>
      <c r="F1382" t="n">
        <v>438</v>
      </c>
      <c r="G1382" t="n">
        <v>26440401.12</v>
      </c>
      <c r="H1382">
        <f>IFERROR(VLOOKUP(C1382,Lookups!$A$3:$C$7,3,FALSE),"UNMAPPED")</f>
        <v/>
      </c>
    </row>
    <row r="1383">
      <c r="A1383" s="5" t="n">
        <v>46203</v>
      </c>
      <c r="B1383" t="inlineStr">
        <is>
          <t>CZ</t>
        </is>
      </c>
      <c r="C1383" t="inlineStr">
        <is>
          <t>CC_GOLD</t>
        </is>
      </c>
      <c r="D1383" t="inlineStr">
        <is>
          <t>1-29</t>
        </is>
      </c>
      <c r="E1383" t="n">
        <v>1</v>
      </c>
      <c r="F1383" t="n">
        <v>1</v>
      </c>
      <c r="G1383" t="n">
        <v>58276.52</v>
      </c>
      <c r="H1383">
        <f>IFERROR(VLOOKUP(C1383,Lookups!$A$3:$C$7,3,FALSE),"UNMAPPED")</f>
        <v/>
      </c>
    </row>
    <row r="1384">
      <c r="A1384" s="5" t="n">
        <v>46203</v>
      </c>
      <c r="B1384" t="inlineStr">
        <is>
          <t>CZ</t>
        </is>
      </c>
      <c r="C1384" t="inlineStr">
        <is>
          <t>CC_GOLD</t>
        </is>
      </c>
      <c r="D1384" t="inlineStr">
        <is>
          <t>30-59</t>
        </is>
      </c>
      <c r="E1384" t="n">
        <v>30</v>
      </c>
      <c r="F1384" t="n">
        <v>4</v>
      </c>
      <c r="G1384" t="n">
        <v>198422.87</v>
      </c>
      <c r="H1384">
        <f>IFERROR(VLOOKUP(C1384,Lookups!$A$3:$C$7,3,FALSE),"UNMAPPED")</f>
        <v/>
      </c>
    </row>
    <row r="1385">
      <c r="A1385" s="5" t="n">
        <v>46203</v>
      </c>
      <c r="B1385" t="inlineStr">
        <is>
          <t>CZ</t>
        </is>
      </c>
      <c r="C1385" t="inlineStr">
        <is>
          <t>CC_GOLD</t>
        </is>
      </c>
      <c r="D1385" t="inlineStr">
        <is>
          <t>90-179</t>
        </is>
      </c>
      <c r="E1385" t="n">
        <v>90</v>
      </c>
      <c r="F1385" t="n">
        <v>7</v>
      </c>
      <c r="G1385" t="n">
        <v>570505.85</v>
      </c>
      <c r="H1385">
        <f>IFERROR(VLOOKUP(C1385,Lookups!$A$3:$C$7,3,FALSE),"UNMAPPED")</f>
        <v/>
      </c>
    </row>
    <row r="1386">
      <c r="A1386" s="5" t="n">
        <v>46203</v>
      </c>
      <c r="B1386" t="inlineStr">
        <is>
          <t>CZ</t>
        </is>
      </c>
      <c r="C1386" t="inlineStr">
        <is>
          <t>PL_PREM</t>
        </is>
      </c>
      <c r="D1386" t="inlineStr">
        <is>
          <t>Current</t>
        </is>
      </c>
      <c r="E1386" t="n">
        <v>0</v>
      </c>
      <c r="F1386" t="n">
        <v>383</v>
      </c>
      <c r="G1386" t="n">
        <v>80809353.18000001</v>
      </c>
      <c r="H1386">
        <f>IFERROR(VLOOKUP(C1386,Lookups!$A$3:$C$7,3,FALSE),"UNMAPPED")</f>
        <v/>
      </c>
    </row>
    <row r="1387">
      <c r="A1387" s="5" t="n">
        <v>46203</v>
      </c>
      <c r="B1387" t="inlineStr">
        <is>
          <t>CZ</t>
        </is>
      </c>
      <c r="C1387" t="inlineStr">
        <is>
          <t>PL_PREM</t>
        </is>
      </c>
      <c r="D1387" t="inlineStr">
        <is>
          <t>1-29</t>
        </is>
      </c>
      <c r="E1387" t="n">
        <v>1</v>
      </c>
      <c r="F1387" t="n">
        <v>12</v>
      </c>
      <c r="G1387" t="n">
        <v>2094554.25</v>
      </c>
      <c r="H1387">
        <f>IFERROR(VLOOKUP(C1387,Lookups!$A$3:$C$7,3,FALSE),"UNMAPPED")</f>
        <v/>
      </c>
    </row>
    <row r="1388">
      <c r="A1388" s="5" t="n">
        <v>46203</v>
      </c>
      <c r="B1388" t="inlineStr">
        <is>
          <t>CZ</t>
        </is>
      </c>
      <c r="C1388" t="inlineStr">
        <is>
          <t>PL_PREM</t>
        </is>
      </c>
      <c r="D1388" t="inlineStr">
        <is>
          <t>30-59</t>
        </is>
      </c>
      <c r="E1388" t="n">
        <v>30</v>
      </c>
      <c r="F1388" t="n">
        <v>3</v>
      </c>
      <c r="G1388" t="n">
        <v>475041.65</v>
      </c>
      <c r="H1388">
        <f>IFERROR(VLOOKUP(C1388,Lookups!$A$3:$C$7,3,FALSE),"UNMAPPED")</f>
        <v/>
      </c>
    </row>
    <row r="1389">
      <c r="A1389" s="5" t="n">
        <v>46203</v>
      </c>
      <c r="B1389" t="inlineStr">
        <is>
          <t>CZ</t>
        </is>
      </c>
      <c r="C1389" t="inlineStr">
        <is>
          <t>PL_PREM</t>
        </is>
      </c>
      <c r="D1389" t="inlineStr">
        <is>
          <t>60-89</t>
        </is>
      </c>
      <c r="E1389" t="n">
        <v>60</v>
      </c>
      <c r="F1389" t="n">
        <v>6</v>
      </c>
      <c r="G1389" t="n">
        <v>1953915.77</v>
      </c>
      <c r="H1389">
        <f>IFERROR(VLOOKUP(C1389,Lookups!$A$3:$C$7,3,FALSE),"UNMAPPED")</f>
        <v/>
      </c>
    </row>
    <row r="1390">
      <c r="A1390" s="5" t="n">
        <v>46203</v>
      </c>
      <c r="B1390" t="inlineStr">
        <is>
          <t>CZ</t>
        </is>
      </c>
      <c r="C1390" t="inlineStr">
        <is>
          <t>PL_PREM</t>
        </is>
      </c>
      <c r="D1390" t="inlineStr">
        <is>
          <t>90-179</t>
        </is>
      </c>
      <c r="E1390" t="n">
        <v>90</v>
      </c>
      <c r="F1390" t="n">
        <v>1</v>
      </c>
      <c r="G1390" t="n">
        <v>112854.71</v>
      </c>
      <c r="H1390">
        <f>IFERROR(VLOOKUP(C1390,Lookups!$A$3:$C$7,3,FALSE),"UNMAPPED")</f>
        <v/>
      </c>
    </row>
    <row r="1391">
      <c r="A1391" s="5" t="n">
        <v>46203</v>
      </c>
      <c r="B1391" t="inlineStr">
        <is>
          <t>CZ</t>
        </is>
      </c>
      <c r="C1391" t="inlineStr">
        <is>
          <t>PL_STD</t>
        </is>
      </c>
      <c r="D1391" t="inlineStr">
        <is>
          <t>Current</t>
        </is>
      </c>
      <c r="E1391" t="n">
        <v>0</v>
      </c>
      <c r="F1391" t="n">
        <v>919</v>
      </c>
      <c r="G1391" t="n">
        <v>60438750.73</v>
      </c>
      <c r="H1391">
        <f>IFERROR(VLOOKUP(C1391,Lookups!$A$3:$C$7,3,FALSE),"UNMAPPED")</f>
        <v/>
      </c>
    </row>
    <row r="1392">
      <c r="A1392" s="5" t="n">
        <v>46203</v>
      </c>
      <c r="B1392" t="inlineStr">
        <is>
          <t>CZ</t>
        </is>
      </c>
      <c r="C1392" t="inlineStr">
        <is>
          <t>PL_STD</t>
        </is>
      </c>
      <c r="D1392" t="inlineStr">
        <is>
          <t>1-29</t>
        </is>
      </c>
      <c r="E1392" t="n">
        <v>1</v>
      </c>
      <c r="F1392" t="n">
        <v>24</v>
      </c>
      <c r="G1392" t="n">
        <v>1486315.41</v>
      </c>
      <c r="H1392">
        <f>IFERROR(VLOOKUP(C1392,Lookups!$A$3:$C$7,3,FALSE),"UNMAPPED")</f>
        <v/>
      </c>
    </row>
    <row r="1393">
      <c r="A1393" s="5" t="n">
        <v>46203</v>
      </c>
      <c r="B1393" t="inlineStr">
        <is>
          <t>CZ</t>
        </is>
      </c>
      <c r="C1393" t="inlineStr">
        <is>
          <t>PL_STD</t>
        </is>
      </c>
      <c r="D1393" t="inlineStr">
        <is>
          <t>30-59</t>
        </is>
      </c>
      <c r="E1393" t="n">
        <v>30</v>
      </c>
      <c r="F1393" t="n">
        <v>5</v>
      </c>
      <c r="G1393" t="n">
        <v>554431.47</v>
      </c>
      <c r="H1393">
        <f>IFERROR(VLOOKUP(C1393,Lookups!$A$3:$C$7,3,FALSE),"UNMAPPED")</f>
        <v/>
      </c>
    </row>
    <row r="1394">
      <c r="A1394" s="5" t="n">
        <v>46203</v>
      </c>
      <c r="B1394" t="inlineStr">
        <is>
          <t>CZ</t>
        </is>
      </c>
      <c r="C1394" t="inlineStr">
        <is>
          <t>PL_STD</t>
        </is>
      </c>
      <c r="D1394" t="inlineStr">
        <is>
          <t>60-89</t>
        </is>
      </c>
      <c r="E1394" t="n">
        <v>60</v>
      </c>
      <c r="F1394" t="n">
        <v>4</v>
      </c>
      <c r="G1394" t="n">
        <v>279062.21</v>
      </c>
      <c r="H1394">
        <f>IFERROR(VLOOKUP(C1394,Lookups!$A$3:$C$7,3,FALSE),"UNMAPPED")</f>
        <v/>
      </c>
    </row>
    <row r="1395">
      <c r="A1395" s="5" t="n">
        <v>46203</v>
      </c>
      <c r="B1395" t="inlineStr">
        <is>
          <t>CZ</t>
        </is>
      </c>
      <c r="C1395" t="inlineStr">
        <is>
          <t>PL_STD</t>
        </is>
      </c>
      <c r="D1395" t="inlineStr">
        <is>
          <t>90-179</t>
        </is>
      </c>
      <c r="E1395" t="n">
        <v>90</v>
      </c>
      <c r="F1395" t="n">
        <v>11</v>
      </c>
      <c r="G1395" t="n">
        <v>680422.77</v>
      </c>
      <c r="H1395">
        <f>IFERROR(VLOOKUP(C1395,Lookups!$A$3:$C$7,3,FALSE),"UNMAPPED")</f>
        <v/>
      </c>
    </row>
    <row r="1396">
      <c r="A1396" s="5" t="n">
        <v>46203</v>
      </c>
      <c r="B1396" t="inlineStr">
        <is>
          <t>PL</t>
        </is>
      </c>
      <c r="C1396" t="inlineStr">
        <is>
          <t>CC_CLASSIC</t>
        </is>
      </c>
      <c r="D1396" t="inlineStr">
        <is>
          <t>Current</t>
        </is>
      </c>
      <c r="E1396" t="n">
        <v>0</v>
      </c>
      <c r="F1396" t="n">
        <v>2141</v>
      </c>
      <c r="G1396" t="n">
        <v>6280942.93</v>
      </c>
      <c r="H1396">
        <f>IFERROR(VLOOKUP(C1396,Lookups!$A$3:$C$7,3,FALSE),"UNMAPPED")</f>
        <v/>
      </c>
    </row>
    <row r="1397">
      <c r="A1397" s="5" t="n">
        <v>46203</v>
      </c>
      <c r="B1397" t="inlineStr">
        <is>
          <t>PL</t>
        </is>
      </c>
      <c r="C1397" t="inlineStr">
        <is>
          <t>CC_CLASSIC</t>
        </is>
      </c>
      <c r="D1397" t="inlineStr">
        <is>
          <t>1-29</t>
        </is>
      </c>
      <c r="E1397" t="n">
        <v>1</v>
      </c>
      <c r="F1397" t="n">
        <v>29</v>
      </c>
      <c r="G1397" t="n">
        <v>108728.73</v>
      </c>
      <c r="H1397">
        <f>IFERROR(VLOOKUP(C1397,Lookups!$A$3:$C$7,3,FALSE),"UNMAPPED")</f>
        <v/>
      </c>
    </row>
    <row r="1398">
      <c r="A1398" s="5" t="n">
        <v>46203</v>
      </c>
      <c r="B1398" t="inlineStr">
        <is>
          <t>PL</t>
        </is>
      </c>
      <c r="C1398" t="inlineStr">
        <is>
          <t>CC_CLASSIC</t>
        </is>
      </c>
      <c r="D1398" t="inlineStr">
        <is>
          <t>30-59</t>
        </is>
      </c>
      <c r="E1398" t="n">
        <v>30</v>
      </c>
      <c r="F1398" t="n">
        <v>10</v>
      </c>
      <c r="G1398" t="n">
        <v>32800.6</v>
      </c>
      <c r="H1398">
        <f>IFERROR(VLOOKUP(C1398,Lookups!$A$3:$C$7,3,FALSE),"UNMAPPED")</f>
        <v/>
      </c>
    </row>
    <row r="1399">
      <c r="A1399" s="5" t="n">
        <v>46203</v>
      </c>
      <c r="B1399" t="inlineStr">
        <is>
          <t>PL</t>
        </is>
      </c>
      <c r="C1399" t="inlineStr">
        <is>
          <t>CC_CLASSIC</t>
        </is>
      </c>
      <c r="D1399" t="inlineStr">
        <is>
          <t>60-89</t>
        </is>
      </c>
      <c r="E1399" t="n">
        <v>60</v>
      </c>
      <c r="F1399" t="n">
        <v>12</v>
      </c>
      <c r="G1399" t="n">
        <v>29008.13</v>
      </c>
      <c r="H1399">
        <f>IFERROR(VLOOKUP(C1399,Lookups!$A$3:$C$7,3,FALSE),"UNMAPPED")</f>
        <v/>
      </c>
    </row>
    <row r="1400">
      <c r="A1400" s="5" t="n">
        <v>46203</v>
      </c>
      <c r="B1400" t="inlineStr">
        <is>
          <t>PL</t>
        </is>
      </c>
      <c r="C1400" t="inlineStr">
        <is>
          <t>CC_CLASSIC</t>
        </is>
      </c>
      <c r="D1400" t="inlineStr">
        <is>
          <t>90-179</t>
        </is>
      </c>
      <c r="E1400" t="n">
        <v>90</v>
      </c>
      <c r="F1400" t="n">
        <v>28</v>
      </c>
      <c r="G1400" t="n">
        <v>106665.08</v>
      </c>
      <c r="H1400">
        <f>IFERROR(VLOOKUP(C1400,Lookups!$A$3:$C$7,3,FALSE),"UNMAPPED")</f>
        <v/>
      </c>
    </row>
    <row r="1401">
      <c r="A1401" s="5" t="n">
        <v>46203</v>
      </c>
      <c r="B1401" t="inlineStr">
        <is>
          <t>PL</t>
        </is>
      </c>
      <c r="C1401" t="inlineStr">
        <is>
          <t>CC_CONSOL</t>
        </is>
      </c>
      <c r="D1401" t="inlineStr">
        <is>
          <t>Current</t>
        </is>
      </c>
      <c r="E1401" t="n">
        <v>0</v>
      </c>
      <c r="F1401" t="n">
        <v>235</v>
      </c>
      <c r="G1401" t="n">
        <v>5790143.45</v>
      </c>
      <c r="H1401">
        <f>IFERROR(VLOOKUP(C1401,Lookups!$A$3:$C$7,3,FALSE),"UNMAPPED")</f>
        <v/>
      </c>
    </row>
    <row r="1402">
      <c r="A1402" s="5" t="n">
        <v>46203</v>
      </c>
      <c r="B1402" t="inlineStr">
        <is>
          <t>PL</t>
        </is>
      </c>
      <c r="C1402" t="inlineStr">
        <is>
          <t>CC_CONSOL</t>
        </is>
      </c>
      <c r="D1402" t="inlineStr">
        <is>
          <t>1-29</t>
        </is>
      </c>
      <c r="E1402" t="n">
        <v>1</v>
      </c>
      <c r="F1402" t="n">
        <v>4</v>
      </c>
      <c r="G1402" t="n">
        <v>94670.56</v>
      </c>
      <c r="H1402">
        <f>IFERROR(VLOOKUP(C1402,Lookups!$A$3:$C$7,3,FALSE),"UNMAPPED")</f>
        <v/>
      </c>
    </row>
    <row r="1403">
      <c r="A1403" s="5" t="n">
        <v>46203</v>
      </c>
      <c r="B1403" t="inlineStr">
        <is>
          <t>PL</t>
        </is>
      </c>
      <c r="C1403" t="inlineStr">
        <is>
          <t>CC_CONSOL</t>
        </is>
      </c>
      <c r="D1403" t="inlineStr">
        <is>
          <t>30-59</t>
        </is>
      </c>
      <c r="E1403" t="n">
        <v>30</v>
      </c>
      <c r="F1403" t="n">
        <v>1</v>
      </c>
      <c r="G1403" t="n">
        <v>45528.15</v>
      </c>
      <c r="H1403">
        <f>IFERROR(VLOOKUP(C1403,Lookups!$A$3:$C$7,3,FALSE),"UNMAPPED")</f>
        <v/>
      </c>
    </row>
    <row r="1404">
      <c r="A1404" s="5" t="n">
        <v>46203</v>
      </c>
      <c r="B1404" t="inlineStr">
        <is>
          <t>PL</t>
        </is>
      </c>
      <c r="C1404" t="inlineStr">
        <is>
          <t>CC_CONSOL</t>
        </is>
      </c>
      <c r="D1404" t="inlineStr">
        <is>
          <t>90-179</t>
        </is>
      </c>
      <c r="E1404" t="n">
        <v>90</v>
      </c>
      <c r="F1404" t="n">
        <v>5</v>
      </c>
      <c r="G1404" t="n">
        <v>207888.01</v>
      </c>
      <c r="H1404">
        <f>IFERROR(VLOOKUP(C1404,Lookups!$A$3:$C$7,3,FALSE),"UNMAPPED")</f>
        <v/>
      </c>
    </row>
    <row r="1405">
      <c r="A1405" s="5" t="n">
        <v>46203</v>
      </c>
      <c r="B1405" t="inlineStr">
        <is>
          <t>PL</t>
        </is>
      </c>
      <c r="C1405" t="inlineStr">
        <is>
          <t>CC_GOLD</t>
        </is>
      </c>
      <c r="D1405" t="inlineStr">
        <is>
          <t>Current</t>
        </is>
      </c>
      <c r="E1405" t="n">
        <v>0</v>
      </c>
      <c r="F1405" t="n">
        <v>603</v>
      </c>
      <c r="G1405" t="n">
        <v>6407685.51</v>
      </c>
      <c r="H1405">
        <f>IFERROR(VLOOKUP(C1405,Lookups!$A$3:$C$7,3,FALSE),"UNMAPPED")</f>
        <v/>
      </c>
    </row>
    <row r="1406">
      <c r="A1406" s="5" t="n">
        <v>46203</v>
      </c>
      <c r="B1406" t="inlineStr">
        <is>
          <t>PL</t>
        </is>
      </c>
      <c r="C1406" t="inlineStr">
        <is>
          <t>CC_GOLD</t>
        </is>
      </c>
      <c r="D1406" t="inlineStr">
        <is>
          <t>1-29</t>
        </is>
      </c>
      <c r="E1406" t="n">
        <v>1</v>
      </c>
      <c r="F1406" t="n">
        <v>6</v>
      </c>
      <c r="G1406" t="n">
        <v>67868.61</v>
      </c>
      <c r="H1406">
        <f>IFERROR(VLOOKUP(C1406,Lookups!$A$3:$C$7,3,FALSE),"UNMAPPED")</f>
        <v/>
      </c>
    </row>
    <row r="1407">
      <c r="A1407" s="5" t="n">
        <v>46203</v>
      </c>
      <c r="B1407" t="inlineStr">
        <is>
          <t>PL</t>
        </is>
      </c>
      <c r="C1407" t="inlineStr">
        <is>
          <t>CC_GOLD</t>
        </is>
      </c>
      <c r="D1407" t="inlineStr">
        <is>
          <t>30-59</t>
        </is>
      </c>
      <c r="E1407" t="n">
        <v>30</v>
      </c>
      <c r="F1407" t="n">
        <v>8</v>
      </c>
      <c r="G1407" t="n">
        <v>95692.97</v>
      </c>
      <c r="H1407">
        <f>IFERROR(VLOOKUP(C1407,Lookups!$A$3:$C$7,3,FALSE),"UNMAPPED")</f>
        <v/>
      </c>
    </row>
    <row r="1408">
      <c r="A1408" s="5" t="n">
        <v>46203</v>
      </c>
      <c r="B1408" t="inlineStr">
        <is>
          <t>PL</t>
        </is>
      </c>
      <c r="C1408" t="inlineStr">
        <is>
          <t>CC_GOLD</t>
        </is>
      </c>
      <c r="D1408" t="inlineStr">
        <is>
          <t>60-89</t>
        </is>
      </c>
      <c r="E1408" t="n">
        <v>60</v>
      </c>
      <c r="F1408" t="n">
        <v>4</v>
      </c>
      <c r="G1408" t="n">
        <v>22942.62</v>
      </c>
      <c r="H1408">
        <f>IFERROR(VLOOKUP(C1408,Lookups!$A$3:$C$7,3,FALSE),"UNMAPPED")</f>
        <v/>
      </c>
    </row>
    <row r="1409">
      <c r="A1409" s="5" t="n">
        <v>46203</v>
      </c>
      <c r="B1409" t="inlineStr">
        <is>
          <t>PL</t>
        </is>
      </c>
      <c r="C1409" t="inlineStr">
        <is>
          <t>CC_GOLD</t>
        </is>
      </c>
      <c r="D1409" t="inlineStr">
        <is>
          <t>90-179</t>
        </is>
      </c>
      <c r="E1409" t="n">
        <v>90</v>
      </c>
      <c r="F1409" t="n">
        <v>7</v>
      </c>
      <c r="G1409" t="n">
        <v>80998.64999999999</v>
      </c>
      <c r="H1409">
        <f>IFERROR(VLOOKUP(C1409,Lookups!$A$3:$C$7,3,FALSE),"UNMAPPED")</f>
        <v/>
      </c>
    </row>
    <row r="1410">
      <c r="A1410" s="5" t="n">
        <v>46203</v>
      </c>
      <c r="B1410" t="inlineStr">
        <is>
          <t>PL</t>
        </is>
      </c>
      <c r="C1410" t="inlineStr">
        <is>
          <t>PL_PREM</t>
        </is>
      </c>
      <c r="D1410" t="inlineStr">
        <is>
          <t>Current</t>
        </is>
      </c>
      <c r="E1410" t="n">
        <v>0</v>
      </c>
      <c r="F1410" t="n">
        <v>606</v>
      </c>
      <c r="G1410" t="n">
        <v>23021104.6</v>
      </c>
      <c r="H1410">
        <f>IFERROR(VLOOKUP(C1410,Lookups!$A$3:$C$7,3,FALSE),"UNMAPPED")</f>
        <v/>
      </c>
    </row>
    <row r="1411">
      <c r="A1411" s="5" t="n">
        <v>46203</v>
      </c>
      <c r="B1411" t="inlineStr">
        <is>
          <t>PL</t>
        </is>
      </c>
      <c r="C1411" t="inlineStr">
        <is>
          <t>PL_PREM</t>
        </is>
      </c>
      <c r="D1411" t="inlineStr">
        <is>
          <t>1-29</t>
        </is>
      </c>
      <c r="E1411" t="n">
        <v>1</v>
      </c>
      <c r="F1411" t="n">
        <v>11</v>
      </c>
      <c r="G1411" t="n">
        <v>423800.3</v>
      </c>
      <c r="H1411">
        <f>IFERROR(VLOOKUP(C1411,Lookups!$A$3:$C$7,3,FALSE),"UNMAPPED")</f>
        <v/>
      </c>
    </row>
    <row r="1412">
      <c r="A1412" s="5" t="n">
        <v>46203</v>
      </c>
      <c r="B1412" t="inlineStr">
        <is>
          <t>PL</t>
        </is>
      </c>
      <c r="C1412" t="inlineStr">
        <is>
          <t>PL_PREM</t>
        </is>
      </c>
      <c r="D1412" t="inlineStr">
        <is>
          <t>30-59</t>
        </is>
      </c>
      <c r="E1412" t="n">
        <v>30</v>
      </c>
      <c r="F1412" t="n">
        <v>6</v>
      </c>
      <c r="G1412" t="n">
        <v>274097.55</v>
      </c>
      <c r="H1412">
        <f>IFERROR(VLOOKUP(C1412,Lookups!$A$3:$C$7,3,FALSE),"UNMAPPED")</f>
        <v/>
      </c>
    </row>
    <row r="1413">
      <c r="A1413" s="5" t="n">
        <v>46203</v>
      </c>
      <c r="B1413" t="inlineStr">
        <is>
          <t>PL</t>
        </is>
      </c>
      <c r="C1413" t="inlineStr">
        <is>
          <t>PL_PREM</t>
        </is>
      </c>
      <c r="D1413" t="inlineStr">
        <is>
          <t>60-89</t>
        </is>
      </c>
      <c r="E1413" t="n">
        <v>60</v>
      </c>
      <c r="F1413" t="n">
        <v>4</v>
      </c>
      <c r="G1413" t="n">
        <v>166408.51</v>
      </c>
      <c r="H1413">
        <f>IFERROR(VLOOKUP(C1413,Lookups!$A$3:$C$7,3,FALSE),"UNMAPPED")</f>
        <v/>
      </c>
    </row>
    <row r="1414">
      <c r="A1414" s="5" t="n">
        <v>46203</v>
      </c>
      <c r="B1414" t="inlineStr">
        <is>
          <t>PL</t>
        </is>
      </c>
      <c r="C1414" t="inlineStr">
        <is>
          <t>PL_PREM</t>
        </is>
      </c>
      <c r="D1414" t="inlineStr">
        <is>
          <t>90-179</t>
        </is>
      </c>
      <c r="E1414" t="n">
        <v>90</v>
      </c>
      <c r="F1414" t="n">
        <v>9</v>
      </c>
      <c r="G1414" t="n">
        <v>350724.84</v>
      </c>
      <c r="H1414">
        <f>IFERROR(VLOOKUP(C1414,Lookups!$A$3:$C$7,3,FALSE),"UNMAPPED")</f>
        <v/>
      </c>
    </row>
    <row r="1415">
      <c r="A1415" s="5" t="n">
        <v>46203</v>
      </c>
      <c r="B1415" t="inlineStr">
        <is>
          <t>PL</t>
        </is>
      </c>
      <c r="C1415" t="inlineStr">
        <is>
          <t>PL_STD</t>
        </is>
      </c>
      <c r="D1415" t="inlineStr">
        <is>
          <t>Current</t>
        </is>
      </c>
      <c r="E1415" t="n">
        <v>0</v>
      </c>
      <c r="F1415" t="n">
        <v>1204</v>
      </c>
      <c r="G1415" t="n">
        <v>13549848.98</v>
      </c>
      <c r="H1415">
        <f>IFERROR(VLOOKUP(C1415,Lookups!$A$3:$C$7,3,FALSE),"UNMAPPED")</f>
        <v/>
      </c>
    </row>
    <row r="1416">
      <c r="A1416" s="5" t="n">
        <v>46203</v>
      </c>
      <c r="B1416" t="inlineStr">
        <is>
          <t>PL</t>
        </is>
      </c>
      <c r="C1416" t="inlineStr">
        <is>
          <t>PL_STD</t>
        </is>
      </c>
      <c r="D1416" t="inlineStr">
        <is>
          <t>1-29</t>
        </is>
      </c>
      <c r="E1416" t="n">
        <v>1</v>
      </c>
      <c r="F1416" t="n">
        <v>26</v>
      </c>
      <c r="G1416" t="n">
        <v>286722.79</v>
      </c>
      <c r="H1416">
        <f>IFERROR(VLOOKUP(C1416,Lookups!$A$3:$C$7,3,FALSE),"UNMAPPED")</f>
        <v/>
      </c>
    </row>
    <row r="1417">
      <c r="A1417" s="5" t="n">
        <v>46203</v>
      </c>
      <c r="B1417" t="inlineStr">
        <is>
          <t>PL</t>
        </is>
      </c>
      <c r="C1417" t="inlineStr">
        <is>
          <t>PL_STD</t>
        </is>
      </c>
      <c r="D1417" t="inlineStr">
        <is>
          <t>30-59</t>
        </is>
      </c>
      <c r="E1417" t="n">
        <v>30</v>
      </c>
      <c r="F1417" t="n">
        <v>12</v>
      </c>
      <c r="G1417" t="n">
        <v>158474.39</v>
      </c>
      <c r="H1417">
        <f>IFERROR(VLOOKUP(C1417,Lookups!$A$3:$C$7,3,FALSE),"UNMAPPED")</f>
        <v/>
      </c>
    </row>
    <row r="1418">
      <c r="A1418" s="5" t="n">
        <v>46203</v>
      </c>
      <c r="B1418" t="inlineStr">
        <is>
          <t>PL</t>
        </is>
      </c>
      <c r="C1418" t="inlineStr">
        <is>
          <t>PL_STD</t>
        </is>
      </c>
      <c r="D1418" t="inlineStr">
        <is>
          <t>60-89</t>
        </is>
      </c>
      <c r="E1418" t="n">
        <v>60</v>
      </c>
      <c r="F1418" t="n">
        <v>14</v>
      </c>
      <c r="G1418" t="n">
        <v>169224.27</v>
      </c>
      <c r="H1418">
        <f>IFERROR(VLOOKUP(C1418,Lookups!$A$3:$C$7,3,FALSE),"UNMAPPED")</f>
        <v/>
      </c>
    </row>
    <row r="1419">
      <c r="A1419" s="5" t="n">
        <v>46203</v>
      </c>
      <c r="B1419" t="inlineStr">
        <is>
          <t>PL</t>
        </is>
      </c>
      <c r="C1419" t="inlineStr">
        <is>
          <t>PL_STD</t>
        </is>
      </c>
      <c r="D1419" t="inlineStr">
        <is>
          <t>90-179</t>
        </is>
      </c>
      <c r="E1419" t="n">
        <v>90</v>
      </c>
      <c r="F1419" t="n">
        <v>24</v>
      </c>
      <c r="G1419" t="n">
        <v>301369.62</v>
      </c>
      <c r="H1419">
        <f>IFERROR(VLOOKUP(C1419,Lookups!$A$3:$C$7,3,FALSE),"UNMAPPED")</f>
        <v/>
      </c>
    </row>
    <row r="1420">
      <c r="A1420" s="5" t="n">
        <v>46203</v>
      </c>
      <c r="B1420" t="inlineStr">
        <is>
          <t>RO</t>
        </is>
      </c>
      <c r="C1420" t="inlineStr">
        <is>
          <t>CC_CLASSIC</t>
        </is>
      </c>
      <c r="D1420" t="inlineStr">
        <is>
          <t>Current</t>
        </is>
      </c>
      <c r="E1420" t="n">
        <v>0</v>
      </c>
      <c r="F1420" t="n">
        <v>1186</v>
      </c>
      <c r="G1420" t="n">
        <v>4064151.43</v>
      </c>
      <c r="H1420">
        <f>IFERROR(VLOOKUP(C1420,Lookups!$A$3:$C$7,3,FALSE),"UNMAPPED")</f>
        <v/>
      </c>
    </row>
    <row r="1421">
      <c r="A1421" s="5" t="n">
        <v>46203</v>
      </c>
      <c r="B1421" t="inlineStr">
        <is>
          <t>RO</t>
        </is>
      </c>
      <c r="C1421" t="inlineStr">
        <is>
          <t>CC_CLASSIC</t>
        </is>
      </c>
      <c r="D1421" t="inlineStr">
        <is>
          <t>1-29</t>
        </is>
      </c>
      <c r="E1421" t="n">
        <v>1</v>
      </c>
      <c r="F1421" t="n">
        <v>30</v>
      </c>
      <c r="G1421" t="n">
        <v>115303.79</v>
      </c>
      <c r="H1421">
        <f>IFERROR(VLOOKUP(C1421,Lookups!$A$3:$C$7,3,FALSE),"UNMAPPED")</f>
        <v/>
      </c>
    </row>
    <row r="1422">
      <c r="A1422" s="5" t="n">
        <v>46203</v>
      </c>
      <c r="B1422" t="inlineStr">
        <is>
          <t>RO</t>
        </is>
      </c>
      <c r="C1422" t="inlineStr">
        <is>
          <t>CC_CLASSIC</t>
        </is>
      </c>
      <c r="D1422" t="inlineStr">
        <is>
          <t>30-59</t>
        </is>
      </c>
      <c r="E1422" t="n">
        <v>30</v>
      </c>
      <c r="F1422" t="n">
        <v>13</v>
      </c>
      <c r="G1422" t="n">
        <v>39445.07</v>
      </c>
      <c r="H1422">
        <f>IFERROR(VLOOKUP(C1422,Lookups!$A$3:$C$7,3,FALSE),"UNMAPPED")</f>
        <v/>
      </c>
    </row>
    <row r="1423">
      <c r="A1423" s="5" t="n">
        <v>46203</v>
      </c>
      <c r="B1423" t="inlineStr">
        <is>
          <t>RO</t>
        </is>
      </c>
      <c r="C1423" t="inlineStr">
        <is>
          <t>CC_CLASSIC</t>
        </is>
      </c>
      <c r="D1423" t="inlineStr">
        <is>
          <t>60-89</t>
        </is>
      </c>
      <c r="E1423" t="n">
        <v>60</v>
      </c>
      <c r="F1423" t="n">
        <v>12</v>
      </c>
      <c r="G1423" t="n">
        <v>60122.32</v>
      </c>
      <c r="H1423">
        <f>IFERROR(VLOOKUP(C1423,Lookups!$A$3:$C$7,3,FALSE),"UNMAPPED")</f>
        <v/>
      </c>
    </row>
    <row r="1424">
      <c r="A1424" s="5" t="n">
        <v>46203</v>
      </c>
      <c r="B1424" t="inlineStr">
        <is>
          <t>RO</t>
        </is>
      </c>
      <c r="C1424" t="inlineStr">
        <is>
          <t>CC_CLASSIC</t>
        </is>
      </c>
      <c r="D1424" t="inlineStr">
        <is>
          <t>90-179</t>
        </is>
      </c>
      <c r="E1424" t="n">
        <v>90</v>
      </c>
      <c r="F1424" t="n">
        <v>25</v>
      </c>
      <c r="G1424" t="n">
        <v>90641.03999999999</v>
      </c>
      <c r="H1424">
        <f>IFERROR(VLOOKUP(C1424,Lookups!$A$3:$C$7,3,FALSE),"UNMAPPED")</f>
        <v/>
      </c>
    </row>
    <row r="1425">
      <c r="A1425" s="5" t="n">
        <v>46203</v>
      </c>
      <c r="B1425" t="inlineStr">
        <is>
          <t>RO</t>
        </is>
      </c>
      <c r="C1425" t="inlineStr">
        <is>
          <t>CC_CONSOL</t>
        </is>
      </c>
      <c r="D1425" t="inlineStr">
        <is>
          <t>Current</t>
        </is>
      </c>
      <c r="E1425" t="n">
        <v>0</v>
      </c>
      <c r="F1425" t="n">
        <v>137</v>
      </c>
      <c r="G1425" t="n">
        <v>3998457.65</v>
      </c>
      <c r="H1425">
        <f>IFERROR(VLOOKUP(C1425,Lookups!$A$3:$C$7,3,FALSE),"UNMAPPED")</f>
        <v/>
      </c>
    </row>
    <row r="1426">
      <c r="A1426" s="5" t="n">
        <v>46203</v>
      </c>
      <c r="B1426" t="inlineStr">
        <is>
          <t>RO</t>
        </is>
      </c>
      <c r="C1426" t="inlineStr">
        <is>
          <t>CC_CONSOL</t>
        </is>
      </c>
      <c r="D1426" t="inlineStr">
        <is>
          <t>30-59</t>
        </is>
      </c>
      <c r="E1426" t="n">
        <v>30</v>
      </c>
      <c r="F1426" t="n">
        <v>3</v>
      </c>
      <c r="G1426" t="n">
        <v>69966.73</v>
      </c>
      <c r="H1426">
        <f>IFERROR(VLOOKUP(C1426,Lookups!$A$3:$C$7,3,FALSE),"UNMAPPED")</f>
        <v/>
      </c>
    </row>
    <row r="1427">
      <c r="A1427" s="5" t="n">
        <v>46203</v>
      </c>
      <c r="B1427" t="inlineStr">
        <is>
          <t>RO</t>
        </is>
      </c>
      <c r="C1427" t="inlineStr">
        <is>
          <t>CC_CONSOL</t>
        </is>
      </c>
      <c r="D1427" t="inlineStr">
        <is>
          <t>60-89</t>
        </is>
      </c>
      <c r="E1427" t="n">
        <v>60</v>
      </c>
      <c r="F1427" t="n">
        <v>1</v>
      </c>
      <c r="G1427" t="n">
        <v>39281.07</v>
      </c>
      <c r="H1427">
        <f>IFERROR(VLOOKUP(C1427,Lookups!$A$3:$C$7,3,FALSE),"UNMAPPED")</f>
        <v/>
      </c>
    </row>
    <row r="1428">
      <c r="A1428" s="5" t="n">
        <v>46203</v>
      </c>
      <c r="B1428" t="inlineStr">
        <is>
          <t>RO</t>
        </is>
      </c>
      <c r="C1428" t="inlineStr">
        <is>
          <t>CC_CONSOL</t>
        </is>
      </c>
      <c r="D1428" t="inlineStr">
        <is>
          <t>90-179</t>
        </is>
      </c>
      <c r="E1428" t="n">
        <v>90</v>
      </c>
      <c r="F1428" t="n">
        <v>1</v>
      </c>
      <c r="G1428" t="n">
        <v>44414.73</v>
      </c>
      <c r="H1428">
        <f>IFERROR(VLOOKUP(C1428,Lookups!$A$3:$C$7,3,FALSE),"UNMAPPED")</f>
        <v/>
      </c>
    </row>
    <row r="1429">
      <c r="A1429" s="5" t="n">
        <v>46203</v>
      </c>
      <c r="B1429" t="inlineStr">
        <is>
          <t>RO</t>
        </is>
      </c>
      <c r="C1429" t="inlineStr">
        <is>
          <t>CC_GOLD</t>
        </is>
      </c>
      <c r="D1429" t="inlineStr">
        <is>
          <t>Current</t>
        </is>
      </c>
      <c r="E1429" t="n">
        <v>0</v>
      </c>
      <c r="F1429" t="n">
        <v>340</v>
      </c>
      <c r="G1429" t="n">
        <v>3855927.73</v>
      </c>
      <c r="H1429">
        <f>IFERROR(VLOOKUP(C1429,Lookups!$A$3:$C$7,3,FALSE),"UNMAPPED")</f>
        <v/>
      </c>
    </row>
    <row r="1430">
      <c r="A1430" s="5" t="n">
        <v>46203</v>
      </c>
      <c r="B1430" t="inlineStr">
        <is>
          <t>RO</t>
        </is>
      </c>
      <c r="C1430" t="inlineStr">
        <is>
          <t>CC_GOLD</t>
        </is>
      </c>
      <c r="D1430" t="inlineStr">
        <is>
          <t>1-29</t>
        </is>
      </c>
      <c r="E1430" t="n">
        <v>1</v>
      </c>
      <c r="F1430" t="n">
        <v>7</v>
      </c>
      <c r="G1430" t="n">
        <v>73809.42999999999</v>
      </c>
      <c r="H1430">
        <f>IFERROR(VLOOKUP(C1430,Lookups!$A$3:$C$7,3,FALSE),"UNMAPPED")</f>
        <v/>
      </c>
    </row>
    <row r="1431">
      <c r="A1431" s="5" t="n">
        <v>46203</v>
      </c>
      <c r="B1431" t="inlineStr">
        <is>
          <t>RO</t>
        </is>
      </c>
      <c r="C1431" t="inlineStr">
        <is>
          <t>CC_GOLD</t>
        </is>
      </c>
      <c r="D1431" t="inlineStr">
        <is>
          <t>30-59</t>
        </is>
      </c>
      <c r="E1431" t="n">
        <v>30</v>
      </c>
      <c r="F1431" t="n">
        <v>7</v>
      </c>
      <c r="G1431" t="n">
        <v>125825.42</v>
      </c>
      <c r="H1431">
        <f>IFERROR(VLOOKUP(C1431,Lookups!$A$3:$C$7,3,FALSE),"UNMAPPED")</f>
        <v/>
      </c>
    </row>
    <row r="1432">
      <c r="A1432" s="5" t="n">
        <v>46203</v>
      </c>
      <c r="B1432" t="inlineStr">
        <is>
          <t>RO</t>
        </is>
      </c>
      <c r="C1432" t="inlineStr">
        <is>
          <t>CC_GOLD</t>
        </is>
      </c>
      <c r="D1432" t="inlineStr">
        <is>
          <t>60-89</t>
        </is>
      </c>
      <c r="E1432" t="n">
        <v>60</v>
      </c>
      <c r="F1432" t="n">
        <v>6</v>
      </c>
      <c r="G1432" t="n">
        <v>80192.03999999999</v>
      </c>
      <c r="H1432">
        <f>IFERROR(VLOOKUP(C1432,Lookups!$A$3:$C$7,3,FALSE),"UNMAPPED")</f>
        <v/>
      </c>
    </row>
    <row r="1433">
      <c r="A1433" s="5" t="n">
        <v>46203</v>
      </c>
      <c r="B1433" t="inlineStr">
        <is>
          <t>RO</t>
        </is>
      </c>
      <c r="C1433" t="inlineStr">
        <is>
          <t>CC_GOLD</t>
        </is>
      </c>
      <c r="D1433" t="inlineStr">
        <is>
          <t>90-179</t>
        </is>
      </c>
      <c r="E1433" t="n">
        <v>90</v>
      </c>
      <c r="F1433" t="n">
        <v>7</v>
      </c>
      <c r="G1433" t="n">
        <v>92513.50999999999</v>
      </c>
      <c r="H1433">
        <f>IFERROR(VLOOKUP(C1433,Lookups!$A$3:$C$7,3,FALSE),"UNMAPPED")</f>
        <v/>
      </c>
    </row>
    <row r="1434">
      <c r="A1434" s="5" t="n">
        <v>46203</v>
      </c>
      <c r="B1434" t="inlineStr">
        <is>
          <t>RO</t>
        </is>
      </c>
      <c r="C1434" t="inlineStr">
        <is>
          <t>PL_PREM</t>
        </is>
      </c>
      <c r="D1434" t="inlineStr">
        <is>
          <t>Current</t>
        </is>
      </c>
      <c r="E1434" t="n">
        <v>0</v>
      </c>
      <c r="F1434" t="n">
        <v>346</v>
      </c>
      <c r="G1434" t="n">
        <v>15238599.04</v>
      </c>
      <c r="H1434">
        <f>IFERROR(VLOOKUP(C1434,Lookups!$A$3:$C$7,3,FALSE),"UNMAPPED")</f>
        <v/>
      </c>
    </row>
    <row r="1435">
      <c r="A1435" s="5" t="n">
        <v>46203</v>
      </c>
      <c r="B1435" t="inlineStr">
        <is>
          <t>RO</t>
        </is>
      </c>
      <c r="C1435" t="inlineStr">
        <is>
          <t>PL_PREM</t>
        </is>
      </c>
      <c r="D1435" t="inlineStr">
        <is>
          <t>1-29</t>
        </is>
      </c>
      <c r="E1435" t="n">
        <v>1</v>
      </c>
      <c r="F1435" t="n">
        <v>11</v>
      </c>
      <c r="G1435" t="n">
        <v>412965.36</v>
      </c>
      <c r="H1435">
        <f>IFERROR(VLOOKUP(C1435,Lookups!$A$3:$C$7,3,FALSE),"UNMAPPED")</f>
        <v/>
      </c>
    </row>
    <row r="1436">
      <c r="A1436" s="5" t="n">
        <v>46203</v>
      </c>
      <c r="B1436" t="inlineStr">
        <is>
          <t>RO</t>
        </is>
      </c>
      <c r="C1436" t="inlineStr">
        <is>
          <t>PL_PREM</t>
        </is>
      </c>
      <c r="D1436" t="inlineStr">
        <is>
          <t>30-59</t>
        </is>
      </c>
      <c r="E1436" t="n">
        <v>30</v>
      </c>
      <c r="F1436" t="n">
        <v>6</v>
      </c>
      <c r="G1436" t="n">
        <v>256457.32</v>
      </c>
      <c r="H1436">
        <f>IFERROR(VLOOKUP(C1436,Lookups!$A$3:$C$7,3,FALSE),"UNMAPPED")</f>
        <v/>
      </c>
    </row>
    <row r="1437">
      <c r="A1437" s="5" t="n">
        <v>46203</v>
      </c>
      <c r="B1437" t="inlineStr">
        <is>
          <t>RO</t>
        </is>
      </c>
      <c r="C1437" t="inlineStr">
        <is>
          <t>PL_PREM</t>
        </is>
      </c>
      <c r="D1437" t="inlineStr">
        <is>
          <t>60-89</t>
        </is>
      </c>
      <c r="E1437" t="n">
        <v>60</v>
      </c>
      <c r="F1437" t="n">
        <v>4</v>
      </c>
      <c r="G1437" t="n">
        <v>244495.04</v>
      </c>
      <c r="H1437">
        <f>IFERROR(VLOOKUP(C1437,Lookups!$A$3:$C$7,3,FALSE),"UNMAPPED")</f>
        <v/>
      </c>
    </row>
    <row r="1438">
      <c r="A1438" s="5" t="n">
        <v>46203</v>
      </c>
      <c r="B1438" t="inlineStr">
        <is>
          <t>RO</t>
        </is>
      </c>
      <c r="C1438" t="inlineStr">
        <is>
          <t>PL_PREM</t>
        </is>
      </c>
      <c r="D1438" t="inlineStr">
        <is>
          <t>90-179</t>
        </is>
      </c>
      <c r="E1438" t="n">
        <v>90</v>
      </c>
      <c r="F1438" t="n">
        <v>4</v>
      </c>
      <c r="G1438" t="n">
        <v>203475.03</v>
      </c>
      <c r="H1438">
        <f>IFERROR(VLOOKUP(C1438,Lookups!$A$3:$C$7,3,FALSE),"UNMAPPED")</f>
        <v/>
      </c>
    </row>
    <row r="1439">
      <c r="A1439" s="5" t="n">
        <v>46203</v>
      </c>
      <c r="B1439" t="inlineStr">
        <is>
          <t>RO</t>
        </is>
      </c>
      <c r="C1439" t="inlineStr">
        <is>
          <t>PL_STD</t>
        </is>
      </c>
      <c r="D1439" t="inlineStr">
        <is>
          <t>Current</t>
        </is>
      </c>
      <c r="E1439" t="n">
        <v>0</v>
      </c>
      <c r="F1439" t="n">
        <v>776</v>
      </c>
      <c r="G1439" t="n">
        <v>10479578.88</v>
      </c>
      <c r="H1439">
        <f>IFERROR(VLOOKUP(C1439,Lookups!$A$3:$C$7,3,FALSE),"UNMAPPED")</f>
        <v/>
      </c>
    </row>
    <row r="1440">
      <c r="A1440" s="5" t="n">
        <v>46203</v>
      </c>
      <c r="B1440" t="inlineStr">
        <is>
          <t>RO</t>
        </is>
      </c>
      <c r="C1440" t="inlineStr">
        <is>
          <t>PL_STD</t>
        </is>
      </c>
      <c r="D1440" t="inlineStr">
        <is>
          <t>1-29</t>
        </is>
      </c>
      <c r="E1440" t="n">
        <v>1</v>
      </c>
      <c r="F1440" t="n">
        <v>15</v>
      </c>
      <c r="G1440" t="n">
        <v>236933.75</v>
      </c>
      <c r="H1440">
        <f>IFERROR(VLOOKUP(C1440,Lookups!$A$3:$C$7,3,FALSE),"UNMAPPED")</f>
        <v/>
      </c>
    </row>
    <row r="1441">
      <c r="A1441" s="5" t="n">
        <v>46203</v>
      </c>
      <c r="B1441" t="inlineStr">
        <is>
          <t>RO</t>
        </is>
      </c>
      <c r="C1441" t="inlineStr">
        <is>
          <t>PL_STD</t>
        </is>
      </c>
      <c r="D1441" t="inlineStr">
        <is>
          <t>30-59</t>
        </is>
      </c>
      <c r="E1441" t="n">
        <v>30</v>
      </c>
      <c r="F1441" t="n">
        <v>9</v>
      </c>
      <c r="G1441" t="n">
        <v>122635.81</v>
      </c>
      <c r="H1441">
        <f>IFERROR(VLOOKUP(C1441,Lookups!$A$3:$C$7,3,FALSE),"UNMAPPED")</f>
        <v/>
      </c>
    </row>
    <row r="1442">
      <c r="A1442" s="5" t="n">
        <v>46203</v>
      </c>
      <c r="B1442" t="inlineStr">
        <is>
          <t>RO</t>
        </is>
      </c>
      <c r="C1442" t="inlineStr">
        <is>
          <t>PL_STD</t>
        </is>
      </c>
      <c r="D1442" t="inlineStr">
        <is>
          <t>60-89</t>
        </is>
      </c>
      <c r="E1442" t="n">
        <v>60</v>
      </c>
      <c r="F1442" t="n">
        <v>8</v>
      </c>
      <c r="G1442" t="n">
        <v>140540.44</v>
      </c>
      <c r="H1442">
        <f>IFERROR(VLOOKUP(C1442,Lookups!$A$3:$C$7,3,FALSE),"UNMAPPED")</f>
        <v/>
      </c>
    </row>
    <row r="1443">
      <c r="A1443" s="5" t="n">
        <v>46203</v>
      </c>
      <c r="B1443" t="inlineStr">
        <is>
          <t>RO</t>
        </is>
      </c>
      <c r="C1443" t="inlineStr">
        <is>
          <t>PL_STD</t>
        </is>
      </c>
      <c r="D1443" t="inlineStr">
        <is>
          <t>90-179</t>
        </is>
      </c>
      <c r="E1443" t="n">
        <v>90</v>
      </c>
      <c r="F1443" t="n">
        <v>20</v>
      </c>
      <c r="G1443" t="n">
        <v>322139.23</v>
      </c>
      <c r="H1443">
        <f>IFERROR(VLOOKUP(C1443,Lookups!$A$3:$C$7,3,FALSE),"UNMAPPED")</f>
        <v/>
      </c>
    </row>
    <row r="1444">
      <c r="A1444" s="5" t="n">
        <v>46234</v>
      </c>
      <c r="B1444" t="inlineStr">
        <is>
          <t>CZ</t>
        </is>
      </c>
      <c r="C1444" t="inlineStr">
        <is>
          <t>CC_CLASSIC</t>
        </is>
      </c>
      <c r="D1444" t="inlineStr">
        <is>
          <t>Current</t>
        </is>
      </c>
      <c r="E1444" t="n">
        <v>0</v>
      </c>
      <c r="F1444" t="n">
        <v>1616</v>
      </c>
      <c r="G1444" t="n">
        <v>27336874.16</v>
      </c>
      <c r="H1444">
        <f>IFERROR(VLOOKUP(C1444,Lookups!$A$3:$C$7,3,FALSE),"UNMAPPED")</f>
        <v/>
      </c>
    </row>
    <row r="1445">
      <c r="A1445" s="5" t="n">
        <v>46234</v>
      </c>
      <c r="B1445" t="inlineStr">
        <is>
          <t>CZ</t>
        </is>
      </c>
      <c r="C1445" t="inlineStr">
        <is>
          <t>CC_CLASSIC</t>
        </is>
      </c>
      <c r="D1445" t="inlineStr">
        <is>
          <t>1-29</t>
        </is>
      </c>
      <c r="E1445" t="n">
        <v>1</v>
      </c>
      <c r="F1445" t="n">
        <v>15</v>
      </c>
      <c r="G1445" t="n">
        <v>276062.47</v>
      </c>
      <c r="H1445">
        <f>IFERROR(VLOOKUP(C1445,Lookups!$A$3:$C$7,3,FALSE),"UNMAPPED")</f>
        <v/>
      </c>
    </row>
    <row r="1446">
      <c r="A1446" s="5" t="n">
        <v>46234</v>
      </c>
      <c r="B1446" t="inlineStr">
        <is>
          <t>CZ</t>
        </is>
      </c>
      <c r="C1446" t="inlineStr">
        <is>
          <t>CC_CLASSIC</t>
        </is>
      </c>
      <c r="D1446" t="inlineStr">
        <is>
          <t>30-59</t>
        </is>
      </c>
      <c r="E1446" t="n">
        <v>30</v>
      </c>
      <c r="F1446" t="n">
        <v>11</v>
      </c>
      <c r="G1446" t="n">
        <v>207759.57</v>
      </c>
      <c r="H1446">
        <f>IFERROR(VLOOKUP(C1446,Lookups!$A$3:$C$7,3,FALSE),"UNMAPPED")</f>
        <v/>
      </c>
    </row>
    <row r="1447">
      <c r="A1447" s="5" t="n">
        <v>46234</v>
      </c>
      <c r="B1447" t="inlineStr">
        <is>
          <t>CZ</t>
        </is>
      </c>
      <c r="C1447" t="inlineStr">
        <is>
          <t>CC_CLASSIC</t>
        </is>
      </c>
      <c r="D1447" t="inlineStr">
        <is>
          <t>60-89</t>
        </is>
      </c>
      <c r="E1447" t="n">
        <v>60</v>
      </c>
      <c r="F1447" t="n">
        <v>13</v>
      </c>
      <c r="G1447" t="n">
        <v>278119.25</v>
      </c>
      <c r="H1447">
        <f>IFERROR(VLOOKUP(C1447,Lookups!$A$3:$C$7,3,FALSE),"UNMAPPED")</f>
        <v/>
      </c>
    </row>
    <row r="1448">
      <c r="A1448" s="5" t="n">
        <v>46234</v>
      </c>
      <c r="B1448" t="inlineStr">
        <is>
          <t>CZ</t>
        </is>
      </c>
      <c r="C1448" t="inlineStr">
        <is>
          <t>CC_CLASSIC</t>
        </is>
      </c>
      <c r="D1448" t="inlineStr">
        <is>
          <t>90-179</t>
        </is>
      </c>
      <c r="E1448" t="n">
        <v>90</v>
      </c>
      <c r="F1448" t="n">
        <v>26</v>
      </c>
      <c r="G1448" t="n">
        <v>448523</v>
      </c>
      <c r="H1448">
        <f>IFERROR(VLOOKUP(C1448,Lookups!$A$3:$C$7,3,FALSE),"UNMAPPED")</f>
        <v/>
      </c>
    </row>
    <row r="1449">
      <c r="A1449" s="5" t="n">
        <v>46234</v>
      </c>
      <c r="B1449" t="inlineStr">
        <is>
          <t>CZ</t>
        </is>
      </c>
      <c r="C1449" t="inlineStr">
        <is>
          <t>CC_CONSOL</t>
        </is>
      </c>
      <c r="D1449" t="inlineStr">
        <is>
          <t>Current</t>
        </is>
      </c>
      <c r="E1449" t="n">
        <v>0</v>
      </c>
      <c r="F1449" t="n">
        <v>188</v>
      </c>
      <c r="G1449" t="n">
        <v>25318418.26</v>
      </c>
      <c r="H1449">
        <f>IFERROR(VLOOKUP(C1449,Lookups!$A$3:$C$7,3,FALSE),"UNMAPPED")</f>
        <v/>
      </c>
    </row>
    <row r="1450">
      <c r="A1450" s="5" t="n">
        <v>46234</v>
      </c>
      <c r="B1450" t="inlineStr">
        <is>
          <t>CZ</t>
        </is>
      </c>
      <c r="C1450" t="inlineStr">
        <is>
          <t>CC_CONSOL</t>
        </is>
      </c>
      <c r="D1450" t="inlineStr">
        <is>
          <t>1-29</t>
        </is>
      </c>
      <c r="E1450" t="n">
        <v>1</v>
      </c>
      <c r="F1450" t="n">
        <v>1</v>
      </c>
      <c r="G1450" t="n">
        <v>74398.60000000001</v>
      </c>
      <c r="H1450">
        <f>IFERROR(VLOOKUP(C1450,Lookups!$A$3:$C$7,3,FALSE),"UNMAPPED")</f>
        <v/>
      </c>
    </row>
    <row r="1451">
      <c r="A1451" s="5" t="n">
        <v>46234</v>
      </c>
      <c r="B1451" t="inlineStr">
        <is>
          <t>CZ</t>
        </is>
      </c>
      <c r="C1451" t="inlineStr">
        <is>
          <t>CC_CONSOL</t>
        </is>
      </c>
      <c r="D1451" t="inlineStr">
        <is>
          <t>30-59</t>
        </is>
      </c>
      <c r="E1451" t="n">
        <v>30</v>
      </c>
      <c r="F1451" t="n">
        <v>1</v>
      </c>
      <c r="G1451" t="n">
        <v>208677.54</v>
      </c>
      <c r="H1451">
        <f>IFERROR(VLOOKUP(C1451,Lookups!$A$3:$C$7,3,FALSE),"UNMAPPED")</f>
        <v/>
      </c>
    </row>
    <row r="1452">
      <c r="A1452" s="5" t="n">
        <v>46234</v>
      </c>
      <c r="B1452" t="inlineStr">
        <is>
          <t>CZ</t>
        </is>
      </c>
      <c r="C1452" t="inlineStr">
        <is>
          <t>CC_CONSOL</t>
        </is>
      </c>
      <c r="D1452" t="inlineStr">
        <is>
          <t>90-179</t>
        </is>
      </c>
      <c r="E1452" t="n">
        <v>90</v>
      </c>
      <c r="F1452" t="n">
        <v>1</v>
      </c>
      <c r="G1452" t="n">
        <v>114891.93</v>
      </c>
      <c r="H1452">
        <f>IFERROR(VLOOKUP(C1452,Lookups!$A$3:$C$7,3,FALSE),"UNMAPPED")</f>
        <v/>
      </c>
    </row>
    <row r="1453">
      <c r="A1453" s="5" t="n">
        <v>46234</v>
      </c>
      <c r="B1453" t="inlineStr">
        <is>
          <t>CZ</t>
        </is>
      </c>
      <c r="C1453" t="inlineStr">
        <is>
          <t>CC_GOLD</t>
        </is>
      </c>
      <c r="D1453" t="inlineStr">
        <is>
          <t>Current</t>
        </is>
      </c>
      <c r="E1453" t="n">
        <v>0</v>
      </c>
      <c r="F1453" t="n">
        <v>452</v>
      </c>
      <c r="G1453" t="n">
        <v>27321034.84</v>
      </c>
      <c r="H1453">
        <f>IFERROR(VLOOKUP(C1453,Lookups!$A$3:$C$7,3,FALSE),"UNMAPPED")</f>
        <v/>
      </c>
    </row>
    <row r="1454">
      <c r="A1454" s="5" t="n">
        <v>46234</v>
      </c>
      <c r="B1454" t="inlineStr">
        <is>
          <t>CZ</t>
        </is>
      </c>
      <c r="C1454" t="inlineStr">
        <is>
          <t>CC_GOLD</t>
        </is>
      </c>
      <c r="D1454" t="inlineStr">
        <is>
          <t>1-29</t>
        </is>
      </c>
      <c r="E1454" t="n">
        <v>1</v>
      </c>
      <c r="F1454" t="n">
        <v>6</v>
      </c>
      <c r="G1454" t="n">
        <v>487581.77</v>
      </c>
      <c r="H1454">
        <f>IFERROR(VLOOKUP(C1454,Lookups!$A$3:$C$7,3,FALSE),"UNMAPPED")</f>
        <v/>
      </c>
    </row>
    <row r="1455">
      <c r="A1455" s="5" t="n">
        <v>46234</v>
      </c>
      <c r="B1455" t="inlineStr">
        <is>
          <t>CZ</t>
        </is>
      </c>
      <c r="C1455" t="inlineStr">
        <is>
          <t>CC_GOLD</t>
        </is>
      </c>
      <c r="D1455" t="inlineStr">
        <is>
          <t>30-59</t>
        </is>
      </c>
      <c r="E1455" t="n">
        <v>30</v>
      </c>
      <c r="F1455" t="n">
        <v>1</v>
      </c>
      <c r="G1455" t="n">
        <v>59242.94</v>
      </c>
      <c r="H1455">
        <f>IFERROR(VLOOKUP(C1455,Lookups!$A$3:$C$7,3,FALSE),"UNMAPPED")</f>
        <v/>
      </c>
    </row>
    <row r="1456">
      <c r="A1456" s="5" t="n">
        <v>46234</v>
      </c>
      <c r="B1456" t="inlineStr">
        <is>
          <t>CZ</t>
        </is>
      </c>
      <c r="C1456" t="inlineStr">
        <is>
          <t>CC_GOLD</t>
        </is>
      </c>
      <c r="D1456" t="inlineStr">
        <is>
          <t>60-89</t>
        </is>
      </c>
      <c r="E1456" t="n">
        <v>60</v>
      </c>
      <c r="F1456" t="n">
        <v>3</v>
      </c>
      <c r="G1456" t="n">
        <v>101964.94</v>
      </c>
      <c r="H1456">
        <f>IFERROR(VLOOKUP(C1456,Lookups!$A$3:$C$7,3,FALSE),"UNMAPPED")</f>
        <v/>
      </c>
    </row>
    <row r="1457">
      <c r="A1457" s="5" t="n">
        <v>46234</v>
      </c>
      <c r="B1457" t="inlineStr">
        <is>
          <t>CZ</t>
        </is>
      </c>
      <c r="C1457" t="inlineStr">
        <is>
          <t>CC_GOLD</t>
        </is>
      </c>
      <c r="D1457" t="inlineStr">
        <is>
          <t>90-179</t>
        </is>
      </c>
      <c r="E1457" t="n">
        <v>90</v>
      </c>
      <c r="F1457" t="n">
        <v>6</v>
      </c>
      <c r="G1457" t="n">
        <v>449612.49</v>
      </c>
      <c r="H1457">
        <f>IFERROR(VLOOKUP(C1457,Lookups!$A$3:$C$7,3,FALSE),"UNMAPPED")</f>
        <v/>
      </c>
    </row>
    <row r="1458">
      <c r="A1458" s="5" t="n">
        <v>46234</v>
      </c>
      <c r="B1458" t="inlineStr">
        <is>
          <t>CZ</t>
        </is>
      </c>
      <c r="C1458" t="inlineStr">
        <is>
          <t>PL_PREM</t>
        </is>
      </c>
      <c r="D1458" t="inlineStr">
        <is>
          <t>Current</t>
        </is>
      </c>
      <c r="E1458" t="n">
        <v>0</v>
      </c>
      <c r="F1458" t="n">
        <v>387</v>
      </c>
      <c r="G1458" t="n">
        <v>80719262.68000001</v>
      </c>
      <c r="H1458">
        <f>IFERROR(VLOOKUP(C1458,Lookups!$A$3:$C$7,3,FALSE),"UNMAPPED")</f>
        <v/>
      </c>
    </row>
    <row r="1459">
      <c r="A1459" s="5" t="n">
        <v>46234</v>
      </c>
      <c r="B1459" t="inlineStr">
        <is>
          <t>CZ</t>
        </is>
      </c>
      <c r="C1459" t="inlineStr">
        <is>
          <t>PL_PREM</t>
        </is>
      </c>
      <c r="D1459" t="inlineStr">
        <is>
          <t>1-29</t>
        </is>
      </c>
      <c r="E1459" t="n">
        <v>1</v>
      </c>
      <c r="F1459" t="n">
        <v>7</v>
      </c>
      <c r="G1459" t="n">
        <v>1592978.04</v>
      </c>
      <c r="H1459">
        <f>IFERROR(VLOOKUP(C1459,Lookups!$A$3:$C$7,3,FALSE),"UNMAPPED")</f>
        <v/>
      </c>
    </row>
    <row r="1460">
      <c r="A1460" s="5" t="n">
        <v>46234</v>
      </c>
      <c r="B1460" t="inlineStr">
        <is>
          <t>CZ</t>
        </is>
      </c>
      <c r="C1460" t="inlineStr">
        <is>
          <t>PL_PREM</t>
        </is>
      </c>
      <c r="D1460" t="inlineStr">
        <is>
          <t>30-59</t>
        </is>
      </c>
      <c r="E1460" t="n">
        <v>30</v>
      </c>
      <c r="F1460" t="n">
        <v>9</v>
      </c>
      <c r="G1460" t="n">
        <v>1522894.6</v>
      </c>
      <c r="H1460">
        <f>IFERROR(VLOOKUP(C1460,Lookups!$A$3:$C$7,3,FALSE),"UNMAPPED")</f>
        <v/>
      </c>
    </row>
    <row r="1461">
      <c r="A1461" s="5" t="n">
        <v>46234</v>
      </c>
      <c r="B1461" t="inlineStr">
        <is>
          <t>CZ</t>
        </is>
      </c>
      <c r="C1461" t="inlineStr">
        <is>
          <t>PL_PREM</t>
        </is>
      </c>
      <c r="D1461" t="inlineStr">
        <is>
          <t>60-89</t>
        </is>
      </c>
      <c r="E1461" t="n">
        <v>60</v>
      </c>
      <c r="F1461" t="n">
        <v>5</v>
      </c>
      <c r="G1461" t="n">
        <v>1481302.42</v>
      </c>
      <c r="H1461">
        <f>IFERROR(VLOOKUP(C1461,Lookups!$A$3:$C$7,3,FALSE),"UNMAPPED")</f>
        <v/>
      </c>
    </row>
    <row r="1462">
      <c r="A1462" s="5" t="n">
        <v>46234</v>
      </c>
      <c r="B1462" t="inlineStr">
        <is>
          <t>CZ</t>
        </is>
      </c>
      <c r="C1462" t="inlineStr">
        <is>
          <t>PL_PREM</t>
        </is>
      </c>
      <c r="D1462" t="inlineStr">
        <is>
          <t>90-179</t>
        </is>
      </c>
      <c r="E1462" t="n">
        <v>90</v>
      </c>
      <c r="F1462" t="n">
        <v>3</v>
      </c>
      <c r="G1462" t="n">
        <v>828835.84</v>
      </c>
      <c r="H1462">
        <f>IFERROR(VLOOKUP(C1462,Lookups!$A$3:$C$7,3,FALSE),"UNMAPPED")</f>
        <v/>
      </c>
    </row>
    <row r="1463">
      <c r="A1463" s="5" t="n">
        <v>46234</v>
      </c>
      <c r="B1463" t="inlineStr">
        <is>
          <t>CZ</t>
        </is>
      </c>
      <c r="C1463" t="inlineStr">
        <is>
          <t>PL_STD</t>
        </is>
      </c>
      <c r="D1463" t="inlineStr">
        <is>
          <t>Current</t>
        </is>
      </c>
      <c r="E1463" t="n">
        <v>0</v>
      </c>
      <c r="F1463" t="n">
        <v>915</v>
      </c>
      <c r="G1463" t="n">
        <v>60794169.58</v>
      </c>
      <c r="H1463">
        <f>IFERROR(VLOOKUP(C1463,Lookups!$A$3:$C$7,3,FALSE),"UNMAPPED")</f>
        <v/>
      </c>
    </row>
    <row r="1464">
      <c r="A1464" s="5" t="n">
        <v>46234</v>
      </c>
      <c r="B1464" t="inlineStr">
        <is>
          <t>CZ</t>
        </is>
      </c>
      <c r="C1464" t="inlineStr">
        <is>
          <t>PL_STD</t>
        </is>
      </c>
      <c r="D1464" t="inlineStr">
        <is>
          <t>1-29</t>
        </is>
      </c>
      <c r="E1464" t="n">
        <v>1</v>
      </c>
      <c r="F1464" t="n">
        <v>15</v>
      </c>
      <c r="G1464" t="n">
        <v>900854.6899999999</v>
      </c>
      <c r="H1464">
        <f>IFERROR(VLOOKUP(C1464,Lookups!$A$3:$C$7,3,FALSE),"UNMAPPED")</f>
        <v/>
      </c>
    </row>
    <row r="1465">
      <c r="A1465" s="5" t="n">
        <v>46234</v>
      </c>
      <c r="B1465" t="inlineStr">
        <is>
          <t>CZ</t>
        </is>
      </c>
      <c r="C1465" t="inlineStr">
        <is>
          <t>PL_STD</t>
        </is>
      </c>
      <c r="D1465" t="inlineStr">
        <is>
          <t>30-59</t>
        </is>
      </c>
      <c r="E1465" t="n">
        <v>30</v>
      </c>
      <c r="F1465" t="n">
        <v>13</v>
      </c>
      <c r="G1465" t="n">
        <v>778708.6</v>
      </c>
      <c r="H1465">
        <f>IFERROR(VLOOKUP(C1465,Lookups!$A$3:$C$7,3,FALSE),"UNMAPPED")</f>
        <v/>
      </c>
    </row>
    <row r="1466">
      <c r="A1466" s="5" t="n">
        <v>46234</v>
      </c>
      <c r="B1466" t="inlineStr">
        <is>
          <t>CZ</t>
        </is>
      </c>
      <c r="C1466" t="inlineStr">
        <is>
          <t>PL_STD</t>
        </is>
      </c>
      <c r="D1466" t="inlineStr">
        <is>
          <t>60-89</t>
        </is>
      </c>
      <c r="E1466" t="n">
        <v>60</v>
      </c>
      <c r="F1466" t="n">
        <v>4</v>
      </c>
      <c r="G1466" t="n">
        <v>521421.84</v>
      </c>
      <c r="H1466">
        <f>IFERROR(VLOOKUP(C1466,Lookups!$A$3:$C$7,3,FALSE),"UNMAPPED")</f>
        <v/>
      </c>
    </row>
    <row r="1467">
      <c r="A1467" s="5" t="n">
        <v>46234</v>
      </c>
      <c r="B1467" t="inlineStr">
        <is>
          <t>CZ</t>
        </is>
      </c>
      <c r="C1467" t="inlineStr">
        <is>
          <t>PL_STD</t>
        </is>
      </c>
      <c r="D1467" t="inlineStr">
        <is>
          <t>90-179</t>
        </is>
      </c>
      <c r="E1467" t="n">
        <v>90</v>
      </c>
      <c r="F1467" t="n">
        <v>11</v>
      </c>
      <c r="G1467" t="n">
        <v>562282.1</v>
      </c>
      <c r="H1467">
        <f>IFERROR(VLOOKUP(C1467,Lookups!$A$3:$C$7,3,FALSE),"UNMAPPED")</f>
        <v/>
      </c>
    </row>
    <row r="1468">
      <c r="A1468" s="5" t="n">
        <v>46234</v>
      </c>
      <c r="B1468" t="inlineStr">
        <is>
          <t>PL</t>
        </is>
      </c>
      <c r="C1468" t="inlineStr">
        <is>
          <t>CC_CLASSIC</t>
        </is>
      </c>
      <c r="D1468" t="inlineStr">
        <is>
          <t>Current</t>
        </is>
      </c>
      <c r="E1468" t="n">
        <v>0</v>
      </c>
      <c r="F1468" t="n">
        <v>2193</v>
      </c>
      <c r="G1468" t="n">
        <v>6466609.16</v>
      </c>
      <c r="H1468">
        <f>IFERROR(VLOOKUP(C1468,Lookups!$A$3:$C$7,3,FALSE),"UNMAPPED")</f>
        <v/>
      </c>
    </row>
    <row r="1469">
      <c r="A1469" s="5" t="n">
        <v>46234</v>
      </c>
      <c r="B1469" t="inlineStr">
        <is>
          <t>PL</t>
        </is>
      </c>
      <c r="C1469" t="inlineStr">
        <is>
          <t>CC_CLASSIC</t>
        </is>
      </c>
      <c r="D1469" t="inlineStr">
        <is>
          <t>1-29</t>
        </is>
      </c>
      <c r="E1469" t="n">
        <v>1</v>
      </c>
      <c r="F1469" t="n">
        <v>29</v>
      </c>
      <c r="G1469" t="n">
        <v>100574.36</v>
      </c>
      <c r="H1469">
        <f>IFERROR(VLOOKUP(C1469,Lookups!$A$3:$C$7,3,FALSE),"UNMAPPED")</f>
        <v/>
      </c>
    </row>
    <row r="1470">
      <c r="A1470" s="5" t="n">
        <v>46234</v>
      </c>
      <c r="B1470" t="inlineStr">
        <is>
          <t>PL</t>
        </is>
      </c>
      <c r="C1470" t="inlineStr">
        <is>
          <t>CC_CLASSIC</t>
        </is>
      </c>
      <c r="D1470" t="inlineStr">
        <is>
          <t>30-59</t>
        </is>
      </c>
      <c r="E1470" t="n">
        <v>30</v>
      </c>
      <c r="F1470" t="n">
        <v>16</v>
      </c>
      <c r="G1470" t="n">
        <v>57371.7</v>
      </c>
      <c r="H1470">
        <f>IFERROR(VLOOKUP(C1470,Lookups!$A$3:$C$7,3,FALSE),"UNMAPPED")</f>
        <v/>
      </c>
    </row>
    <row r="1471">
      <c r="A1471" s="5" t="n">
        <v>46234</v>
      </c>
      <c r="B1471" t="inlineStr">
        <is>
          <t>PL</t>
        </is>
      </c>
      <c r="C1471" t="inlineStr">
        <is>
          <t>CC_CLASSIC</t>
        </is>
      </c>
      <c r="D1471" t="inlineStr">
        <is>
          <t>60-89</t>
        </is>
      </c>
      <c r="E1471" t="n">
        <v>60</v>
      </c>
      <c r="F1471" t="n">
        <v>9</v>
      </c>
      <c r="G1471" t="n">
        <v>32831.98</v>
      </c>
      <c r="H1471">
        <f>IFERROR(VLOOKUP(C1471,Lookups!$A$3:$C$7,3,FALSE),"UNMAPPED")</f>
        <v/>
      </c>
    </row>
    <row r="1472">
      <c r="A1472" s="5" t="n">
        <v>46234</v>
      </c>
      <c r="B1472" t="inlineStr">
        <is>
          <t>PL</t>
        </is>
      </c>
      <c r="C1472" t="inlineStr">
        <is>
          <t>CC_CLASSIC</t>
        </is>
      </c>
      <c r="D1472" t="inlineStr">
        <is>
          <t>90-179</t>
        </is>
      </c>
      <c r="E1472" t="n">
        <v>90</v>
      </c>
      <c r="F1472" t="n">
        <v>26</v>
      </c>
      <c r="G1472" t="n">
        <v>78765.34</v>
      </c>
      <c r="H1472">
        <f>IFERROR(VLOOKUP(C1472,Lookups!$A$3:$C$7,3,FALSE),"UNMAPPED")</f>
        <v/>
      </c>
    </row>
    <row r="1473">
      <c r="A1473" s="5" t="n">
        <v>46234</v>
      </c>
      <c r="B1473" t="inlineStr">
        <is>
          <t>PL</t>
        </is>
      </c>
      <c r="C1473" t="inlineStr">
        <is>
          <t>CC_CONSOL</t>
        </is>
      </c>
      <c r="D1473" t="inlineStr">
        <is>
          <t>Current</t>
        </is>
      </c>
      <c r="E1473" t="n">
        <v>0</v>
      </c>
      <c r="F1473" t="n">
        <v>241</v>
      </c>
      <c r="G1473" t="n">
        <v>5814029.75</v>
      </c>
      <c r="H1473">
        <f>IFERROR(VLOOKUP(C1473,Lookups!$A$3:$C$7,3,FALSE),"UNMAPPED")</f>
        <v/>
      </c>
    </row>
    <row r="1474">
      <c r="A1474" s="5" t="n">
        <v>46234</v>
      </c>
      <c r="B1474" t="inlineStr">
        <is>
          <t>PL</t>
        </is>
      </c>
      <c r="C1474" t="inlineStr">
        <is>
          <t>CC_CONSOL</t>
        </is>
      </c>
      <c r="D1474" t="inlineStr">
        <is>
          <t>1-29</t>
        </is>
      </c>
      <c r="E1474" t="n">
        <v>1</v>
      </c>
      <c r="F1474" t="n">
        <v>3</v>
      </c>
      <c r="G1474" t="n">
        <v>88724.38</v>
      </c>
      <c r="H1474">
        <f>IFERROR(VLOOKUP(C1474,Lookups!$A$3:$C$7,3,FALSE),"UNMAPPED")</f>
        <v/>
      </c>
    </row>
    <row r="1475">
      <c r="A1475" s="5" t="n">
        <v>46234</v>
      </c>
      <c r="B1475" t="inlineStr">
        <is>
          <t>PL</t>
        </is>
      </c>
      <c r="C1475" t="inlineStr">
        <is>
          <t>CC_CONSOL</t>
        </is>
      </c>
      <c r="D1475" t="inlineStr">
        <is>
          <t>30-59</t>
        </is>
      </c>
      <c r="E1475" t="n">
        <v>30</v>
      </c>
      <c r="F1475" t="n">
        <v>4</v>
      </c>
      <c r="G1475" t="n">
        <v>95609.38</v>
      </c>
      <c r="H1475">
        <f>IFERROR(VLOOKUP(C1475,Lookups!$A$3:$C$7,3,FALSE),"UNMAPPED")</f>
        <v/>
      </c>
    </row>
    <row r="1476">
      <c r="A1476" s="5" t="n">
        <v>46234</v>
      </c>
      <c r="B1476" t="inlineStr">
        <is>
          <t>PL</t>
        </is>
      </c>
      <c r="C1476" t="inlineStr">
        <is>
          <t>CC_CONSOL</t>
        </is>
      </c>
      <c r="D1476" t="inlineStr">
        <is>
          <t>60-89</t>
        </is>
      </c>
      <c r="E1476" t="n">
        <v>60</v>
      </c>
      <c r="F1476" t="n">
        <v>1</v>
      </c>
      <c r="G1476" t="n">
        <v>45979.64</v>
      </c>
      <c r="H1476">
        <f>IFERROR(VLOOKUP(C1476,Lookups!$A$3:$C$7,3,FALSE),"UNMAPPED")</f>
        <v/>
      </c>
    </row>
    <row r="1477">
      <c r="A1477" s="5" t="n">
        <v>46234</v>
      </c>
      <c r="B1477" t="inlineStr">
        <is>
          <t>PL</t>
        </is>
      </c>
      <c r="C1477" t="inlineStr">
        <is>
          <t>CC_CONSOL</t>
        </is>
      </c>
      <c r="D1477" t="inlineStr">
        <is>
          <t>90-179</t>
        </is>
      </c>
      <c r="E1477" t="n">
        <v>90</v>
      </c>
      <c r="F1477" t="n">
        <v>4</v>
      </c>
      <c r="G1477" t="n">
        <v>164070.03</v>
      </c>
      <c r="H1477">
        <f>IFERROR(VLOOKUP(C1477,Lookups!$A$3:$C$7,3,FALSE),"UNMAPPED")</f>
        <v/>
      </c>
    </row>
    <row r="1478">
      <c r="A1478" s="5" t="n">
        <v>46234</v>
      </c>
      <c r="B1478" t="inlineStr">
        <is>
          <t>PL</t>
        </is>
      </c>
      <c r="C1478" t="inlineStr">
        <is>
          <t>CC_GOLD</t>
        </is>
      </c>
      <c r="D1478" t="inlineStr">
        <is>
          <t>Current</t>
        </is>
      </c>
      <c r="E1478" t="n">
        <v>0</v>
      </c>
      <c r="F1478" t="n">
        <v>618</v>
      </c>
      <c r="G1478" t="n">
        <v>6551541.34</v>
      </c>
      <c r="H1478">
        <f>IFERROR(VLOOKUP(C1478,Lookups!$A$3:$C$7,3,FALSE),"UNMAPPED")</f>
        <v/>
      </c>
    </row>
    <row r="1479">
      <c r="A1479" s="5" t="n">
        <v>46234</v>
      </c>
      <c r="B1479" t="inlineStr">
        <is>
          <t>PL</t>
        </is>
      </c>
      <c r="C1479" t="inlineStr">
        <is>
          <t>CC_GOLD</t>
        </is>
      </c>
      <c r="D1479" t="inlineStr">
        <is>
          <t>1-29</t>
        </is>
      </c>
      <c r="E1479" t="n">
        <v>1</v>
      </c>
      <c r="F1479" t="n">
        <v>8</v>
      </c>
      <c r="G1479" t="n">
        <v>80998.22</v>
      </c>
      <c r="H1479">
        <f>IFERROR(VLOOKUP(C1479,Lookups!$A$3:$C$7,3,FALSE),"UNMAPPED")</f>
        <v/>
      </c>
    </row>
    <row r="1480">
      <c r="A1480" s="5" t="n">
        <v>46234</v>
      </c>
      <c r="B1480" t="inlineStr">
        <is>
          <t>PL</t>
        </is>
      </c>
      <c r="C1480" t="inlineStr">
        <is>
          <t>CC_GOLD</t>
        </is>
      </c>
      <c r="D1480" t="inlineStr">
        <is>
          <t>30-59</t>
        </is>
      </c>
      <c r="E1480" t="n">
        <v>30</v>
      </c>
      <c r="F1480" t="n">
        <v>3</v>
      </c>
      <c r="G1480" t="n">
        <v>34077.5</v>
      </c>
      <c r="H1480">
        <f>IFERROR(VLOOKUP(C1480,Lookups!$A$3:$C$7,3,FALSE),"UNMAPPED")</f>
        <v/>
      </c>
    </row>
    <row r="1481">
      <c r="A1481" s="5" t="n">
        <v>46234</v>
      </c>
      <c r="B1481" t="inlineStr">
        <is>
          <t>PL</t>
        </is>
      </c>
      <c r="C1481" t="inlineStr">
        <is>
          <t>CC_GOLD</t>
        </is>
      </c>
      <c r="D1481" t="inlineStr">
        <is>
          <t>60-89</t>
        </is>
      </c>
      <c r="E1481" t="n">
        <v>60</v>
      </c>
      <c r="F1481" t="n">
        <v>5</v>
      </c>
      <c r="G1481" t="n">
        <v>53198.43</v>
      </c>
      <c r="H1481">
        <f>IFERROR(VLOOKUP(C1481,Lookups!$A$3:$C$7,3,FALSE),"UNMAPPED")</f>
        <v/>
      </c>
    </row>
    <row r="1482">
      <c r="A1482" s="5" t="n">
        <v>46234</v>
      </c>
      <c r="B1482" t="inlineStr">
        <is>
          <t>PL</t>
        </is>
      </c>
      <c r="C1482" t="inlineStr">
        <is>
          <t>CC_GOLD</t>
        </is>
      </c>
      <c r="D1482" t="inlineStr">
        <is>
          <t>90-179</t>
        </is>
      </c>
      <c r="E1482" t="n">
        <v>90</v>
      </c>
      <c r="F1482" t="n">
        <v>8</v>
      </c>
      <c r="G1482" t="n">
        <v>76184.99000000001</v>
      </c>
      <c r="H1482">
        <f>IFERROR(VLOOKUP(C1482,Lookups!$A$3:$C$7,3,FALSE),"UNMAPPED")</f>
        <v/>
      </c>
    </row>
    <row r="1483">
      <c r="A1483" s="5" t="n">
        <v>46234</v>
      </c>
      <c r="B1483" t="inlineStr">
        <is>
          <t>PL</t>
        </is>
      </c>
      <c r="C1483" t="inlineStr">
        <is>
          <t>PL_PREM</t>
        </is>
      </c>
      <c r="D1483" t="inlineStr">
        <is>
          <t>Current</t>
        </is>
      </c>
      <c r="E1483" t="n">
        <v>0</v>
      </c>
      <c r="F1483" t="n">
        <v>613</v>
      </c>
      <c r="G1483" t="n">
        <v>23034710.82</v>
      </c>
      <c r="H1483">
        <f>IFERROR(VLOOKUP(C1483,Lookups!$A$3:$C$7,3,FALSE),"UNMAPPED")</f>
        <v/>
      </c>
    </row>
    <row r="1484">
      <c r="A1484" s="5" t="n">
        <v>46234</v>
      </c>
      <c r="B1484" t="inlineStr">
        <is>
          <t>PL</t>
        </is>
      </c>
      <c r="C1484" t="inlineStr">
        <is>
          <t>PL_PREM</t>
        </is>
      </c>
      <c r="D1484" t="inlineStr">
        <is>
          <t>1-29</t>
        </is>
      </c>
      <c r="E1484" t="n">
        <v>1</v>
      </c>
      <c r="F1484" t="n">
        <v>16</v>
      </c>
      <c r="G1484" t="n">
        <v>595987.03</v>
      </c>
      <c r="H1484">
        <f>IFERROR(VLOOKUP(C1484,Lookups!$A$3:$C$7,3,FALSE),"UNMAPPED")</f>
        <v/>
      </c>
    </row>
    <row r="1485">
      <c r="A1485" s="5" t="n">
        <v>46234</v>
      </c>
      <c r="B1485" t="inlineStr">
        <is>
          <t>PL</t>
        </is>
      </c>
      <c r="C1485" t="inlineStr">
        <is>
          <t>PL_PREM</t>
        </is>
      </c>
      <c r="D1485" t="inlineStr">
        <is>
          <t>30-59</t>
        </is>
      </c>
      <c r="E1485" t="n">
        <v>30</v>
      </c>
      <c r="F1485" t="n">
        <v>4</v>
      </c>
      <c r="G1485" t="n">
        <v>148229.47</v>
      </c>
      <c r="H1485">
        <f>IFERROR(VLOOKUP(C1485,Lookups!$A$3:$C$7,3,FALSE),"UNMAPPED")</f>
        <v/>
      </c>
    </row>
    <row r="1486">
      <c r="A1486" s="5" t="n">
        <v>46234</v>
      </c>
      <c r="B1486" t="inlineStr">
        <is>
          <t>PL</t>
        </is>
      </c>
      <c r="C1486" t="inlineStr">
        <is>
          <t>PL_PREM</t>
        </is>
      </c>
      <c r="D1486" t="inlineStr">
        <is>
          <t>60-89</t>
        </is>
      </c>
      <c r="E1486" t="n">
        <v>60</v>
      </c>
      <c r="F1486" t="n">
        <v>4</v>
      </c>
      <c r="G1486" t="n">
        <v>173665.78</v>
      </c>
      <c r="H1486">
        <f>IFERROR(VLOOKUP(C1486,Lookups!$A$3:$C$7,3,FALSE),"UNMAPPED")</f>
        <v/>
      </c>
    </row>
    <row r="1487">
      <c r="A1487" s="5" t="n">
        <v>46234</v>
      </c>
      <c r="B1487" t="inlineStr">
        <is>
          <t>PL</t>
        </is>
      </c>
      <c r="C1487" t="inlineStr">
        <is>
          <t>PL_PREM</t>
        </is>
      </c>
      <c r="D1487" t="inlineStr">
        <is>
          <t>90-179</t>
        </is>
      </c>
      <c r="E1487" t="n">
        <v>90</v>
      </c>
      <c r="F1487" t="n">
        <v>8</v>
      </c>
      <c r="G1487" t="n">
        <v>278707.86</v>
      </c>
      <c r="H1487">
        <f>IFERROR(VLOOKUP(C1487,Lookups!$A$3:$C$7,3,FALSE),"UNMAPPED")</f>
        <v/>
      </c>
    </row>
    <row r="1488">
      <c r="A1488" s="5" t="n">
        <v>46234</v>
      </c>
      <c r="B1488" t="inlineStr">
        <is>
          <t>PL</t>
        </is>
      </c>
      <c r="C1488" t="inlineStr">
        <is>
          <t>PL_STD</t>
        </is>
      </c>
      <c r="D1488" t="inlineStr">
        <is>
          <t>Current</t>
        </is>
      </c>
      <c r="E1488" t="n">
        <v>0</v>
      </c>
      <c r="F1488" t="n">
        <v>1208</v>
      </c>
      <c r="G1488" t="n">
        <v>13438768</v>
      </c>
      <c r="H1488">
        <f>IFERROR(VLOOKUP(C1488,Lookups!$A$3:$C$7,3,FALSE),"UNMAPPED")</f>
        <v/>
      </c>
    </row>
    <row r="1489">
      <c r="A1489" s="5" t="n">
        <v>46234</v>
      </c>
      <c r="B1489" t="inlineStr">
        <is>
          <t>PL</t>
        </is>
      </c>
      <c r="C1489" t="inlineStr">
        <is>
          <t>PL_STD</t>
        </is>
      </c>
      <c r="D1489" t="inlineStr">
        <is>
          <t>1-29</t>
        </is>
      </c>
      <c r="E1489" t="n">
        <v>1</v>
      </c>
      <c r="F1489" t="n">
        <v>25</v>
      </c>
      <c r="G1489" t="n">
        <v>262457.67</v>
      </c>
      <c r="H1489">
        <f>IFERROR(VLOOKUP(C1489,Lookups!$A$3:$C$7,3,FALSE),"UNMAPPED")</f>
        <v/>
      </c>
    </row>
    <row r="1490">
      <c r="A1490" s="5" t="n">
        <v>46234</v>
      </c>
      <c r="B1490" t="inlineStr">
        <is>
          <t>PL</t>
        </is>
      </c>
      <c r="C1490" t="inlineStr">
        <is>
          <t>PL_STD</t>
        </is>
      </c>
      <c r="D1490" t="inlineStr">
        <is>
          <t>30-59</t>
        </is>
      </c>
      <c r="E1490" t="n">
        <v>30</v>
      </c>
      <c r="F1490" t="n">
        <v>9</v>
      </c>
      <c r="G1490" t="n">
        <v>113450.94</v>
      </c>
      <c r="H1490">
        <f>IFERROR(VLOOKUP(C1490,Lookups!$A$3:$C$7,3,FALSE),"UNMAPPED")</f>
        <v/>
      </c>
    </row>
    <row r="1491">
      <c r="A1491" s="5" t="n">
        <v>46234</v>
      </c>
      <c r="B1491" t="inlineStr">
        <is>
          <t>PL</t>
        </is>
      </c>
      <c r="C1491" t="inlineStr">
        <is>
          <t>PL_STD</t>
        </is>
      </c>
      <c r="D1491" t="inlineStr">
        <is>
          <t>60-89</t>
        </is>
      </c>
      <c r="E1491" t="n">
        <v>60</v>
      </c>
      <c r="F1491" t="n">
        <v>8</v>
      </c>
      <c r="G1491" t="n">
        <v>114986.09</v>
      </c>
      <c r="H1491">
        <f>IFERROR(VLOOKUP(C1491,Lookups!$A$3:$C$7,3,FALSE),"UNMAPPED")</f>
        <v/>
      </c>
    </row>
    <row r="1492">
      <c r="A1492" s="5" t="n">
        <v>46234</v>
      </c>
      <c r="B1492" t="inlineStr">
        <is>
          <t>PL</t>
        </is>
      </c>
      <c r="C1492" t="inlineStr">
        <is>
          <t>PL_STD</t>
        </is>
      </c>
      <c r="D1492" t="inlineStr">
        <is>
          <t>90-179</t>
        </is>
      </c>
      <c r="E1492" t="n">
        <v>90</v>
      </c>
      <c r="F1492" t="n">
        <v>28</v>
      </c>
      <c r="G1492" t="n">
        <v>331347.15</v>
      </c>
      <c r="H1492">
        <f>IFERROR(VLOOKUP(C1492,Lookups!$A$3:$C$7,3,FALSE),"UNMAPPED")</f>
        <v/>
      </c>
    </row>
    <row r="1493">
      <c r="A1493" s="5" t="n">
        <v>46234</v>
      </c>
      <c r="B1493" t="inlineStr">
        <is>
          <t>RO</t>
        </is>
      </c>
      <c r="C1493" t="inlineStr">
        <is>
          <t>CC_CLASSIC</t>
        </is>
      </c>
      <c r="D1493" t="inlineStr">
        <is>
          <t>Current</t>
        </is>
      </c>
      <c r="E1493" t="n">
        <v>0</v>
      </c>
      <c r="F1493" t="n">
        <v>1214</v>
      </c>
      <c r="G1493" t="n">
        <v>4173953.57</v>
      </c>
      <c r="H1493">
        <f>IFERROR(VLOOKUP(C1493,Lookups!$A$3:$C$7,3,FALSE),"UNMAPPED")</f>
        <v/>
      </c>
    </row>
    <row r="1494">
      <c r="A1494" s="5" t="n">
        <v>46234</v>
      </c>
      <c r="B1494" t="inlineStr">
        <is>
          <t>RO</t>
        </is>
      </c>
      <c r="C1494" t="inlineStr">
        <is>
          <t>CC_CLASSIC</t>
        </is>
      </c>
      <c r="D1494" t="inlineStr">
        <is>
          <t>1-29</t>
        </is>
      </c>
      <c r="E1494" t="n">
        <v>1</v>
      </c>
      <c r="F1494" t="n">
        <v>18</v>
      </c>
      <c r="G1494" t="n">
        <v>82342.55</v>
      </c>
      <c r="H1494">
        <f>IFERROR(VLOOKUP(C1494,Lookups!$A$3:$C$7,3,FALSE),"UNMAPPED")</f>
        <v/>
      </c>
    </row>
    <row r="1495">
      <c r="A1495" s="5" t="n">
        <v>46234</v>
      </c>
      <c r="B1495" t="inlineStr">
        <is>
          <t>RO</t>
        </is>
      </c>
      <c r="C1495" t="inlineStr">
        <is>
          <t>CC_CLASSIC</t>
        </is>
      </c>
      <c r="D1495" t="inlineStr">
        <is>
          <t>30-59</t>
        </is>
      </c>
      <c r="E1495" t="n">
        <v>30</v>
      </c>
      <c r="F1495" t="n">
        <v>23</v>
      </c>
      <c r="G1495" t="n">
        <v>87907.62</v>
      </c>
      <c r="H1495">
        <f>IFERROR(VLOOKUP(C1495,Lookups!$A$3:$C$7,3,FALSE),"UNMAPPED")</f>
        <v/>
      </c>
    </row>
    <row r="1496">
      <c r="A1496" s="5" t="n">
        <v>46234</v>
      </c>
      <c r="B1496" t="inlineStr">
        <is>
          <t>RO</t>
        </is>
      </c>
      <c r="C1496" t="inlineStr">
        <is>
          <t>CC_CLASSIC</t>
        </is>
      </c>
      <c r="D1496" t="inlineStr">
        <is>
          <t>60-89</t>
        </is>
      </c>
      <c r="E1496" t="n">
        <v>60</v>
      </c>
      <c r="F1496" t="n">
        <v>10</v>
      </c>
      <c r="G1496" t="n">
        <v>35305.85</v>
      </c>
      <c r="H1496">
        <f>IFERROR(VLOOKUP(C1496,Lookups!$A$3:$C$7,3,FALSE),"UNMAPPED")</f>
        <v/>
      </c>
    </row>
    <row r="1497">
      <c r="A1497" s="5" t="n">
        <v>46234</v>
      </c>
      <c r="B1497" t="inlineStr">
        <is>
          <t>RO</t>
        </is>
      </c>
      <c r="C1497" t="inlineStr">
        <is>
          <t>CC_CLASSIC</t>
        </is>
      </c>
      <c r="D1497" t="inlineStr">
        <is>
          <t>90-179</t>
        </is>
      </c>
      <c r="E1497" t="n">
        <v>90</v>
      </c>
      <c r="F1497" t="n">
        <v>22</v>
      </c>
      <c r="G1497" t="n">
        <v>85482.64999999999</v>
      </c>
      <c r="H1497">
        <f>IFERROR(VLOOKUP(C1497,Lookups!$A$3:$C$7,3,FALSE),"UNMAPPED")</f>
        <v/>
      </c>
    </row>
    <row r="1498">
      <c r="A1498" s="5" t="n">
        <v>46234</v>
      </c>
      <c r="B1498" t="inlineStr">
        <is>
          <t>RO</t>
        </is>
      </c>
      <c r="C1498" t="inlineStr">
        <is>
          <t>CC_CONSOL</t>
        </is>
      </c>
      <c r="D1498" t="inlineStr">
        <is>
          <t>Current</t>
        </is>
      </c>
      <c r="E1498" t="n">
        <v>0</v>
      </c>
      <c r="F1498" t="n">
        <v>144</v>
      </c>
      <c r="G1498" t="n">
        <v>4141397.02</v>
      </c>
      <c r="H1498">
        <f>IFERROR(VLOOKUP(C1498,Lookups!$A$3:$C$7,3,FALSE),"UNMAPPED")</f>
        <v/>
      </c>
    </row>
    <row r="1499">
      <c r="A1499" s="5" t="n">
        <v>46234</v>
      </c>
      <c r="B1499" t="inlineStr">
        <is>
          <t>RO</t>
        </is>
      </c>
      <c r="C1499" t="inlineStr">
        <is>
          <t>CC_CONSOL</t>
        </is>
      </c>
      <c r="D1499" t="inlineStr">
        <is>
          <t>1-29</t>
        </is>
      </c>
      <c r="E1499" t="n">
        <v>1</v>
      </c>
      <c r="F1499" t="n">
        <v>2</v>
      </c>
      <c r="G1499" t="n">
        <v>55784.4</v>
      </c>
      <c r="H1499">
        <f>IFERROR(VLOOKUP(C1499,Lookups!$A$3:$C$7,3,FALSE),"UNMAPPED")</f>
        <v/>
      </c>
    </row>
    <row r="1500">
      <c r="A1500" s="5" t="n">
        <v>46234</v>
      </c>
      <c r="B1500" t="inlineStr">
        <is>
          <t>RO</t>
        </is>
      </c>
      <c r="C1500" t="inlineStr">
        <is>
          <t>CC_CONSOL</t>
        </is>
      </c>
      <c r="D1500" t="inlineStr">
        <is>
          <t>30-59</t>
        </is>
      </c>
      <c r="E1500" t="n">
        <v>30</v>
      </c>
      <c r="F1500" t="n">
        <v>2</v>
      </c>
      <c r="G1500" t="n">
        <v>54699.63</v>
      </c>
      <c r="H1500">
        <f>IFERROR(VLOOKUP(C1500,Lookups!$A$3:$C$7,3,FALSE),"UNMAPPED")</f>
        <v/>
      </c>
    </row>
    <row r="1501">
      <c r="A1501" s="5" t="n">
        <v>46234</v>
      </c>
      <c r="B1501" t="inlineStr">
        <is>
          <t>RO</t>
        </is>
      </c>
      <c r="C1501" t="inlineStr">
        <is>
          <t>CC_CONSOL</t>
        </is>
      </c>
      <c r="D1501" t="inlineStr">
        <is>
          <t>60-89</t>
        </is>
      </c>
      <c r="E1501" t="n">
        <v>60</v>
      </c>
      <c r="F1501" t="n">
        <v>1</v>
      </c>
      <c r="G1501" t="n">
        <v>37653.16</v>
      </c>
      <c r="H1501">
        <f>IFERROR(VLOOKUP(C1501,Lookups!$A$3:$C$7,3,FALSE),"UNMAPPED")</f>
        <v/>
      </c>
    </row>
    <row r="1502">
      <c r="A1502" s="5" t="n">
        <v>46234</v>
      </c>
      <c r="B1502" t="inlineStr">
        <is>
          <t>RO</t>
        </is>
      </c>
      <c r="C1502" t="inlineStr">
        <is>
          <t>CC_GOLD</t>
        </is>
      </c>
      <c r="D1502" t="inlineStr">
        <is>
          <t>Current</t>
        </is>
      </c>
      <c r="E1502" t="n">
        <v>0</v>
      </c>
      <c r="F1502" t="n">
        <v>351</v>
      </c>
      <c r="G1502" t="n">
        <v>4121770.75</v>
      </c>
      <c r="H1502">
        <f>IFERROR(VLOOKUP(C1502,Lookups!$A$3:$C$7,3,FALSE),"UNMAPPED")</f>
        <v/>
      </c>
    </row>
    <row r="1503">
      <c r="A1503" s="5" t="n">
        <v>46234</v>
      </c>
      <c r="B1503" t="inlineStr">
        <is>
          <t>RO</t>
        </is>
      </c>
      <c r="C1503" t="inlineStr">
        <is>
          <t>CC_GOLD</t>
        </is>
      </c>
      <c r="D1503" t="inlineStr">
        <is>
          <t>1-29</t>
        </is>
      </c>
      <c r="E1503" t="n">
        <v>1</v>
      </c>
      <c r="F1503" t="n">
        <v>6</v>
      </c>
      <c r="G1503" t="n">
        <v>74485.64999999999</v>
      </c>
      <c r="H1503">
        <f>IFERROR(VLOOKUP(C1503,Lookups!$A$3:$C$7,3,FALSE),"UNMAPPED")</f>
        <v/>
      </c>
    </row>
    <row r="1504">
      <c r="A1504" s="5" t="n">
        <v>46234</v>
      </c>
      <c r="B1504" t="inlineStr">
        <is>
          <t>RO</t>
        </is>
      </c>
      <c r="C1504" t="inlineStr">
        <is>
          <t>CC_GOLD</t>
        </is>
      </c>
      <c r="D1504" t="inlineStr">
        <is>
          <t>30-59</t>
        </is>
      </c>
      <c r="E1504" t="n">
        <v>30</v>
      </c>
      <c r="F1504" t="n">
        <v>3</v>
      </c>
      <c r="G1504" t="n">
        <v>20046.35</v>
      </c>
      <c r="H1504">
        <f>IFERROR(VLOOKUP(C1504,Lookups!$A$3:$C$7,3,FALSE),"UNMAPPED")</f>
        <v/>
      </c>
    </row>
    <row r="1505">
      <c r="A1505" s="5" t="n">
        <v>46234</v>
      </c>
      <c r="B1505" t="inlineStr">
        <is>
          <t>RO</t>
        </is>
      </c>
      <c r="C1505" t="inlineStr">
        <is>
          <t>CC_GOLD</t>
        </is>
      </c>
      <c r="D1505" t="inlineStr">
        <is>
          <t>60-89</t>
        </is>
      </c>
      <c r="E1505" t="n">
        <v>60</v>
      </c>
      <c r="F1505" t="n">
        <v>4</v>
      </c>
      <c r="G1505" t="n">
        <v>39825.96</v>
      </c>
      <c r="H1505">
        <f>IFERROR(VLOOKUP(C1505,Lookups!$A$3:$C$7,3,FALSE),"UNMAPPED")</f>
        <v/>
      </c>
    </row>
    <row r="1506">
      <c r="A1506" s="5" t="n">
        <v>46234</v>
      </c>
      <c r="B1506" t="inlineStr">
        <is>
          <t>RO</t>
        </is>
      </c>
      <c r="C1506" t="inlineStr">
        <is>
          <t>CC_GOLD</t>
        </is>
      </c>
      <c r="D1506" t="inlineStr">
        <is>
          <t>90-179</t>
        </is>
      </c>
      <c r="E1506" t="n">
        <v>90</v>
      </c>
      <c r="F1506" t="n">
        <v>10</v>
      </c>
      <c r="G1506" t="n">
        <v>129202.71</v>
      </c>
      <c r="H1506">
        <f>IFERROR(VLOOKUP(C1506,Lookups!$A$3:$C$7,3,FALSE),"UNMAPPED")</f>
        <v/>
      </c>
    </row>
    <row r="1507">
      <c r="A1507" s="5" t="n">
        <v>46234</v>
      </c>
      <c r="B1507" t="inlineStr">
        <is>
          <t>RO</t>
        </is>
      </c>
      <c r="C1507" t="inlineStr">
        <is>
          <t>PL_PREM</t>
        </is>
      </c>
      <c r="D1507" t="inlineStr">
        <is>
          <t>Current</t>
        </is>
      </c>
      <c r="E1507" t="n">
        <v>0</v>
      </c>
      <c r="F1507" t="n">
        <v>345</v>
      </c>
      <c r="G1507" t="n">
        <v>15072236.41</v>
      </c>
      <c r="H1507">
        <f>IFERROR(VLOOKUP(C1507,Lookups!$A$3:$C$7,3,FALSE),"UNMAPPED")</f>
        <v/>
      </c>
    </row>
    <row r="1508">
      <c r="A1508" s="5" t="n">
        <v>46234</v>
      </c>
      <c r="B1508" t="inlineStr">
        <is>
          <t>RO</t>
        </is>
      </c>
      <c r="C1508" t="inlineStr">
        <is>
          <t>PL_PREM</t>
        </is>
      </c>
      <c r="D1508" t="inlineStr">
        <is>
          <t>1-29</t>
        </is>
      </c>
      <c r="E1508" t="n">
        <v>1</v>
      </c>
      <c r="F1508" t="n">
        <v>11</v>
      </c>
      <c r="G1508" t="n">
        <v>432533.94</v>
      </c>
      <c r="H1508">
        <f>IFERROR(VLOOKUP(C1508,Lookups!$A$3:$C$7,3,FALSE),"UNMAPPED")</f>
        <v/>
      </c>
    </row>
    <row r="1509">
      <c r="A1509" s="5" t="n">
        <v>46234</v>
      </c>
      <c r="B1509" t="inlineStr">
        <is>
          <t>RO</t>
        </is>
      </c>
      <c r="C1509" t="inlineStr">
        <is>
          <t>PL_PREM</t>
        </is>
      </c>
      <c r="D1509" t="inlineStr">
        <is>
          <t>30-59</t>
        </is>
      </c>
      <c r="E1509" t="n">
        <v>30</v>
      </c>
      <c r="F1509" t="n">
        <v>6</v>
      </c>
      <c r="G1509" t="n">
        <v>202927.75</v>
      </c>
      <c r="H1509">
        <f>IFERROR(VLOOKUP(C1509,Lookups!$A$3:$C$7,3,FALSE),"UNMAPPED")</f>
        <v/>
      </c>
    </row>
    <row r="1510">
      <c r="A1510" s="5" t="n">
        <v>46234</v>
      </c>
      <c r="B1510" t="inlineStr">
        <is>
          <t>RO</t>
        </is>
      </c>
      <c r="C1510" t="inlineStr">
        <is>
          <t>PL_PREM</t>
        </is>
      </c>
      <c r="D1510" t="inlineStr">
        <is>
          <t>60-89</t>
        </is>
      </c>
      <c r="E1510" t="n">
        <v>60</v>
      </c>
      <c r="F1510" t="n">
        <v>2</v>
      </c>
      <c r="G1510" t="n">
        <v>157518.38</v>
      </c>
      <c r="H1510">
        <f>IFERROR(VLOOKUP(C1510,Lookups!$A$3:$C$7,3,FALSE),"UNMAPPED")</f>
        <v/>
      </c>
    </row>
    <row r="1511">
      <c r="A1511" s="5" t="n">
        <v>46234</v>
      </c>
      <c r="B1511" t="inlineStr">
        <is>
          <t>RO</t>
        </is>
      </c>
      <c r="C1511" t="inlineStr">
        <is>
          <t>PL_PREM</t>
        </is>
      </c>
      <c r="D1511" t="inlineStr">
        <is>
          <t>90-179</t>
        </is>
      </c>
      <c r="E1511" t="n">
        <v>90</v>
      </c>
      <c r="F1511" t="n">
        <v>7</v>
      </c>
      <c r="G1511" t="n">
        <v>348663.46</v>
      </c>
      <c r="H1511">
        <f>IFERROR(VLOOKUP(C1511,Lookups!$A$3:$C$7,3,FALSE),"UNMAPPED")</f>
        <v/>
      </c>
    </row>
    <row r="1512">
      <c r="A1512" s="5" t="n">
        <v>46234</v>
      </c>
      <c r="B1512" t="inlineStr">
        <is>
          <t>RO</t>
        </is>
      </c>
      <c r="C1512" t="inlineStr">
        <is>
          <t>PL_STD</t>
        </is>
      </c>
      <c r="D1512" t="inlineStr">
        <is>
          <t>Current</t>
        </is>
      </c>
      <c r="E1512" t="n">
        <v>0</v>
      </c>
      <c r="F1512" t="n">
        <v>761</v>
      </c>
      <c r="G1512" t="n">
        <v>10443082.82</v>
      </c>
      <c r="H1512">
        <f>IFERROR(VLOOKUP(C1512,Lookups!$A$3:$C$7,3,FALSE),"UNMAPPED")</f>
        <v/>
      </c>
    </row>
    <row r="1513">
      <c r="A1513" s="5" t="n">
        <v>46234</v>
      </c>
      <c r="B1513" t="inlineStr">
        <is>
          <t>RO</t>
        </is>
      </c>
      <c r="C1513" t="inlineStr">
        <is>
          <t>PL_STD</t>
        </is>
      </c>
      <c r="D1513" t="inlineStr">
        <is>
          <t>1-29</t>
        </is>
      </c>
      <c r="E1513" t="n">
        <v>1</v>
      </c>
      <c r="F1513" t="n">
        <v>27</v>
      </c>
      <c r="G1513" t="n">
        <v>381853.45</v>
      </c>
      <c r="H1513">
        <f>IFERROR(VLOOKUP(C1513,Lookups!$A$3:$C$7,3,FALSE),"UNMAPPED")</f>
        <v/>
      </c>
    </row>
    <row r="1514">
      <c r="A1514" s="5" t="n">
        <v>46234</v>
      </c>
      <c r="B1514" t="inlineStr">
        <is>
          <t>RO</t>
        </is>
      </c>
      <c r="C1514" t="inlineStr">
        <is>
          <t>PL_STD</t>
        </is>
      </c>
      <c r="D1514" t="inlineStr">
        <is>
          <t>30-59</t>
        </is>
      </c>
      <c r="E1514" t="n">
        <v>30</v>
      </c>
      <c r="F1514" t="n">
        <v>12</v>
      </c>
      <c r="G1514" t="n">
        <v>185292.33</v>
      </c>
      <c r="H1514">
        <f>IFERROR(VLOOKUP(C1514,Lookups!$A$3:$C$7,3,FALSE),"UNMAPPED")</f>
        <v/>
      </c>
    </row>
    <row r="1515">
      <c r="A1515" s="5" t="n">
        <v>46234</v>
      </c>
      <c r="B1515" t="inlineStr">
        <is>
          <t>RO</t>
        </is>
      </c>
      <c r="C1515" t="inlineStr">
        <is>
          <t>PL_STD</t>
        </is>
      </c>
      <c r="D1515" t="inlineStr">
        <is>
          <t>60-89</t>
        </is>
      </c>
      <c r="E1515" t="n">
        <v>60</v>
      </c>
      <c r="F1515" t="n">
        <v>8</v>
      </c>
      <c r="G1515" t="n">
        <v>123380.97</v>
      </c>
      <c r="H1515">
        <f>IFERROR(VLOOKUP(C1515,Lookups!$A$3:$C$7,3,FALSE),"UNMAPPED")</f>
        <v/>
      </c>
    </row>
    <row r="1516">
      <c r="A1516" s="5" t="n">
        <v>46234</v>
      </c>
      <c r="B1516" t="inlineStr">
        <is>
          <t>RO</t>
        </is>
      </c>
      <c r="C1516" t="inlineStr">
        <is>
          <t>PL_STD</t>
        </is>
      </c>
      <c r="D1516" t="inlineStr">
        <is>
          <t>90-179</t>
        </is>
      </c>
      <c r="E1516" t="n">
        <v>90</v>
      </c>
      <c r="F1516" t="n">
        <v>22</v>
      </c>
      <c r="G1516" t="n">
        <v>321197.27</v>
      </c>
      <c r="H1516">
        <f>IFERROR(VLOOKUP(C1516,Lookups!$A$3:$C$7,3,FALSE),"UNMAPPED")</f>
        <v/>
      </c>
    </row>
    <row r="1517">
      <c r="A1517" s="5" t="n">
        <v>46265</v>
      </c>
      <c r="B1517" t="inlineStr">
        <is>
          <t>CZ</t>
        </is>
      </c>
      <c r="C1517" t="inlineStr">
        <is>
          <t>CC_CLASSIC</t>
        </is>
      </c>
      <c r="D1517" t="inlineStr">
        <is>
          <t>Current</t>
        </is>
      </c>
      <c r="E1517" t="n">
        <v>0</v>
      </c>
      <c r="F1517" t="n">
        <v>1659</v>
      </c>
      <c r="G1517" t="n">
        <v>28210761.27</v>
      </c>
      <c r="H1517">
        <f>IFERROR(VLOOKUP(C1517,Lookups!$A$3:$C$7,3,FALSE),"UNMAPPED")</f>
        <v/>
      </c>
    </row>
    <row r="1518">
      <c r="A1518" s="5" t="n">
        <v>46265</v>
      </c>
      <c r="B1518" t="inlineStr">
        <is>
          <t>CZ</t>
        </is>
      </c>
      <c r="C1518" t="inlineStr">
        <is>
          <t>CC_CLASSIC</t>
        </is>
      </c>
      <c r="D1518" t="inlineStr">
        <is>
          <t>1-29</t>
        </is>
      </c>
      <c r="E1518" t="n">
        <v>1</v>
      </c>
      <c r="F1518" t="n">
        <v>25</v>
      </c>
      <c r="G1518" t="n">
        <v>543360.14</v>
      </c>
      <c r="H1518">
        <f>IFERROR(VLOOKUP(C1518,Lookups!$A$3:$C$7,3,FALSE),"UNMAPPED")</f>
        <v/>
      </c>
    </row>
    <row r="1519">
      <c r="A1519" s="5" t="n">
        <v>46265</v>
      </c>
      <c r="B1519" t="inlineStr">
        <is>
          <t>CZ</t>
        </is>
      </c>
      <c r="C1519" t="inlineStr">
        <is>
          <t>CC_CLASSIC</t>
        </is>
      </c>
      <c r="D1519" t="inlineStr">
        <is>
          <t>30-59</t>
        </is>
      </c>
      <c r="E1519" t="n">
        <v>30</v>
      </c>
      <c r="F1519" t="n">
        <v>6</v>
      </c>
      <c r="G1519" t="n">
        <v>114580.75</v>
      </c>
      <c r="H1519">
        <f>IFERROR(VLOOKUP(C1519,Lookups!$A$3:$C$7,3,FALSE),"UNMAPPED")</f>
        <v/>
      </c>
    </row>
    <row r="1520">
      <c r="A1520" s="5" t="n">
        <v>46265</v>
      </c>
      <c r="B1520" t="inlineStr">
        <is>
          <t>CZ</t>
        </is>
      </c>
      <c r="C1520" t="inlineStr">
        <is>
          <t>CC_CLASSIC</t>
        </is>
      </c>
      <c r="D1520" t="inlineStr">
        <is>
          <t>60-89</t>
        </is>
      </c>
      <c r="E1520" t="n">
        <v>60</v>
      </c>
      <c r="F1520" t="n">
        <v>10</v>
      </c>
      <c r="G1520" t="n">
        <v>177819.06</v>
      </c>
      <c r="H1520">
        <f>IFERROR(VLOOKUP(C1520,Lookups!$A$3:$C$7,3,FALSE),"UNMAPPED")</f>
        <v/>
      </c>
    </row>
    <row r="1521">
      <c r="A1521" s="5" t="n">
        <v>46265</v>
      </c>
      <c r="B1521" t="inlineStr">
        <is>
          <t>CZ</t>
        </is>
      </c>
      <c r="C1521" t="inlineStr">
        <is>
          <t>CC_CLASSIC</t>
        </is>
      </c>
      <c r="D1521" t="inlineStr">
        <is>
          <t>90-179</t>
        </is>
      </c>
      <c r="E1521" t="n">
        <v>90</v>
      </c>
      <c r="F1521" t="n">
        <v>23</v>
      </c>
      <c r="G1521" t="n">
        <v>432284.61</v>
      </c>
      <c r="H1521">
        <f>IFERROR(VLOOKUP(C1521,Lookups!$A$3:$C$7,3,FALSE),"UNMAPPED")</f>
        <v/>
      </c>
    </row>
    <row r="1522">
      <c r="A1522" s="5" t="n">
        <v>46265</v>
      </c>
      <c r="B1522" t="inlineStr">
        <is>
          <t>CZ</t>
        </is>
      </c>
      <c r="C1522" t="inlineStr">
        <is>
          <t>CC_CONSOL</t>
        </is>
      </c>
      <c r="D1522" t="inlineStr">
        <is>
          <t>Current</t>
        </is>
      </c>
      <c r="E1522" t="n">
        <v>0</v>
      </c>
      <c r="F1522" t="n">
        <v>194</v>
      </c>
      <c r="G1522" t="n">
        <v>25494318.22</v>
      </c>
      <c r="H1522">
        <f>IFERROR(VLOOKUP(C1522,Lookups!$A$3:$C$7,3,FALSE),"UNMAPPED")</f>
        <v/>
      </c>
    </row>
    <row r="1523">
      <c r="A1523" s="5" t="n">
        <v>46265</v>
      </c>
      <c r="B1523" t="inlineStr">
        <is>
          <t>CZ</t>
        </is>
      </c>
      <c r="C1523" t="inlineStr">
        <is>
          <t>CC_CONSOL</t>
        </is>
      </c>
      <c r="D1523" t="inlineStr">
        <is>
          <t>1-29</t>
        </is>
      </c>
      <c r="E1523" t="n">
        <v>1</v>
      </c>
      <c r="F1523" t="n">
        <v>1</v>
      </c>
      <c r="G1523" t="n">
        <v>117287.68</v>
      </c>
      <c r="H1523">
        <f>IFERROR(VLOOKUP(C1523,Lookups!$A$3:$C$7,3,FALSE),"UNMAPPED")</f>
        <v/>
      </c>
    </row>
    <row r="1524">
      <c r="A1524" s="5" t="n">
        <v>46265</v>
      </c>
      <c r="B1524" t="inlineStr">
        <is>
          <t>CZ</t>
        </is>
      </c>
      <c r="C1524" t="inlineStr">
        <is>
          <t>CC_CONSOL</t>
        </is>
      </c>
      <c r="D1524" t="inlineStr">
        <is>
          <t>60-89</t>
        </is>
      </c>
      <c r="E1524" t="n">
        <v>60</v>
      </c>
      <c r="F1524" t="n">
        <v>1</v>
      </c>
      <c r="G1524" t="n">
        <v>210746.93</v>
      </c>
      <c r="H1524">
        <f>IFERROR(VLOOKUP(C1524,Lookups!$A$3:$C$7,3,FALSE),"UNMAPPED")</f>
        <v/>
      </c>
    </row>
    <row r="1525">
      <c r="A1525" s="5" t="n">
        <v>46265</v>
      </c>
      <c r="B1525" t="inlineStr">
        <is>
          <t>CZ</t>
        </is>
      </c>
      <c r="C1525" t="inlineStr">
        <is>
          <t>CC_GOLD</t>
        </is>
      </c>
      <c r="D1525" t="inlineStr">
        <is>
          <t>Current</t>
        </is>
      </c>
      <c r="E1525" t="n">
        <v>0</v>
      </c>
      <c r="F1525" t="n">
        <v>462</v>
      </c>
      <c r="G1525" t="n">
        <v>27987543.37</v>
      </c>
      <c r="H1525">
        <f>IFERROR(VLOOKUP(C1525,Lookups!$A$3:$C$7,3,FALSE),"UNMAPPED")</f>
        <v/>
      </c>
    </row>
    <row r="1526">
      <c r="A1526" s="5" t="n">
        <v>46265</v>
      </c>
      <c r="B1526" t="inlineStr">
        <is>
          <t>CZ</t>
        </is>
      </c>
      <c r="C1526" t="inlineStr">
        <is>
          <t>CC_GOLD</t>
        </is>
      </c>
      <c r="D1526" t="inlineStr">
        <is>
          <t>1-29</t>
        </is>
      </c>
      <c r="E1526" t="n">
        <v>1</v>
      </c>
      <c r="F1526" t="n">
        <v>6</v>
      </c>
      <c r="G1526" t="n">
        <v>540703.1899999999</v>
      </c>
      <c r="H1526">
        <f>IFERROR(VLOOKUP(C1526,Lookups!$A$3:$C$7,3,FALSE),"UNMAPPED")</f>
        <v/>
      </c>
    </row>
    <row r="1527">
      <c r="A1527" s="5" t="n">
        <v>46265</v>
      </c>
      <c r="B1527" t="inlineStr">
        <is>
          <t>CZ</t>
        </is>
      </c>
      <c r="C1527" t="inlineStr">
        <is>
          <t>CC_GOLD</t>
        </is>
      </c>
      <c r="D1527" t="inlineStr">
        <is>
          <t>30-59</t>
        </is>
      </c>
      <c r="E1527" t="n">
        <v>30</v>
      </c>
      <c r="F1527" t="n">
        <v>4</v>
      </c>
      <c r="G1527" t="n">
        <v>361247.47</v>
      </c>
      <c r="H1527">
        <f>IFERROR(VLOOKUP(C1527,Lookups!$A$3:$C$7,3,FALSE),"UNMAPPED")</f>
        <v/>
      </c>
    </row>
    <row r="1528">
      <c r="A1528" s="5" t="n">
        <v>46265</v>
      </c>
      <c r="B1528" t="inlineStr">
        <is>
          <t>CZ</t>
        </is>
      </c>
      <c r="C1528" t="inlineStr">
        <is>
          <t>CC_GOLD</t>
        </is>
      </c>
      <c r="D1528" t="inlineStr">
        <is>
          <t>60-89</t>
        </is>
      </c>
      <c r="E1528" t="n">
        <v>60</v>
      </c>
      <c r="F1528" t="n">
        <v>1</v>
      </c>
      <c r="G1528" t="n">
        <v>60225.39</v>
      </c>
      <c r="H1528">
        <f>IFERROR(VLOOKUP(C1528,Lookups!$A$3:$C$7,3,FALSE),"UNMAPPED")</f>
        <v/>
      </c>
    </row>
    <row r="1529">
      <c r="A1529" s="5" t="n">
        <v>46265</v>
      </c>
      <c r="B1529" t="inlineStr">
        <is>
          <t>CZ</t>
        </is>
      </c>
      <c r="C1529" t="inlineStr">
        <is>
          <t>CC_GOLD</t>
        </is>
      </c>
      <c r="D1529" t="inlineStr">
        <is>
          <t>90-179</t>
        </is>
      </c>
      <c r="E1529" t="n">
        <v>90</v>
      </c>
      <c r="F1529" t="n">
        <v>7</v>
      </c>
      <c r="G1529" t="n">
        <v>437287.97</v>
      </c>
      <c r="H1529">
        <f>IFERROR(VLOOKUP(C1529,Lookups!$A$3:$C$7,3,FALSE),"UNMAPPED")</f>
        <v/>
      </c>
    </row>
    <row r="1530">
      <c r="A1530" s="5" t="n">
        <v>46265</v>
      </c>
      <c r="B1530" t="inlineStr">
        <is>
          <t>CZ</t>
        </is>
      </c>
      <c r="C1530" t="inlineStr">
        <is>
          <t>PL_PREM</t>
        </is>
      </c>
      <c r="D1530" t="inlineStr">
        <is>
          <t>Current</t>
        </is>
      </c>
      <c r="E1530" t="n">
        <v>0</v>
      </c>
      <c r="F1530" t="n">
        <v>393</v>
      </c>
      <c r="G1530" t="n">
        <v>80339202.72</v>
      </c>
      <c r="H1530">
        <f>IFERROR(VLOOKUP(C1530,Lookups!$A$3:$C$7,3,FALSE),"UNMAPPED")</f>
        <v/>
      </c>
    </row>
    <row r="1531">
      <c r="A1531" s="5" t="n">
        <v>46265</v>
      </c>
      <c r="B1531" t="inlineStr">
        <is>
          <t>CZ</t>
        </is>
      </c>
      <c r="C1531" t="inlineStr">
        <is>
          <t>PL_PREM</t>
        </is>
      </c>
      <c r="D1531" t="inlineStr">
        <is>
          <t>1-29</t>
        </is>
      </c>
      <c r="E1531" t="n">
        <v>1</v>
      </c>
      <c r="F1531" t="n">
        <v>7</v>
      </c>
      <c r="G1531" t="n">
        <v>1606251.45</v>
      </c>
      <c r="H1531">
        <f>IFERROR(VLOOKUP(C1531,Lookups!$A$3:$C$7,3,FALSE),"UNMAPPED")</f>
        <v/>
      </c>
    </row>
    <row r="1532">
      <c r="A1532" s="5" t="n">
        <v>46265</v>
      </c>
      <c r="B1532" t="inlineStr">
        <is>
          <t>CZ</t>
        </is>
      </c>
      <c r="C1532" t="inlineStr">
        <is>
          <t>PL_PREM</t>
        </is>
      </c>
      <c r="D1532" t="inlineStr">
        <is>
          <t>30-59</t>
        </is>
      </c>
      <c r="E1532" t="n">
        <v>30</v>
      </c>
      <c r="F1532" t="n">
        <v>5</v>
      </c>
      <c r="G1532" t="n">
        <v>771677.58</v>
      </c>
      <c r="H1532">
        <f>IFERROR(VLOOKUP(C1532,Lookups!$A$3:$C$7,3,FALSE),"UNMAPPED")</f>
        <v/>
      </c>
    </row>
    <row r="1533">
      <c r="A1533" s="5" t="n">
        <v>46265</v>
      </c>
      <c r="B1533" t="inlineStr">
        <is>
          <t>CZ</t>
        </is>
      </c>
      <c r="C1533" t="inlineStr">
        <is>
          <t>PL_PREM</t>
        </is>
      </c>
      <c r="D1533" t="inlineStr">
        <is>
          <t>60-89</t>
        </is>
      </c>
      <c r="E1533" t="n">
        <v>60</v>
      </c>
      <c r="F1533" t="n">
        <v>4</v>
      </c>
      <c r="G1533" t="n">
        <v>521660.55</v>
      </c>
      <c r="H1533">
        <f>IFERROR(VLOOKUP(C1533,Lookups!$A$3:$C$7,3,FALSE),"UNMAPPED")</f>
        <v/>
      </c>
    </row>
    <row r="1534">
      <c r="A1534" s="5" t="n">
        <v>46265</v>
      </c>
      <c r="B1534" t="inlineStr">
        <is>
          <t>CZ</t>
        </is>
      </c>
      <c r="C1534" t="inlineStr">
        <is>
          <t>PL_PREM</t>
        </is>
      </c>
      <c r="D1534" t="inlineStr">
        <is>
          <t>90-179</t>
        </is>
      </c>
      <c r="E1534" t="n">
        <v>90</v>
      </c>
      <c r="F1534" t="n">
        <v>7</v>
      </c>
      <c r="G1534" t="n">
        <v>2200589.71</v>
      </c>
      <c r="H1534">
        <f>IFERROR(VLOOKUP(C1534,Lookups!$A$3:$C$7,3,FALSE),"UNMAPPED")</f>
        <v/>
      </c>
    </row>
    <row r="1535">
      <c r="A1535" s="5" t="n">
        <v>46265</v>
      </c>
      <c r="B1535" t="inlineStr">
        <is>
          <t>CZ</t>
        </is>
      </c>
      <c r="C1535" t="inlineStr">
        <is>
          <t>PL_STD</t>
        </is>
      </c>
      <c r="D1535" t="inlineStr">
        <is>
          <t>Current</t>
        </is>
      </c>
      <c r="E1535" t="n">
        <v>0</v>
      </c>
      <c r="F1535" t="n">
        <v>927</v>
      </c>
      <c r="G1535" t="n">
        <v>61385901.78</v>
      </c>
      <c r="H1535">
        <f>IFERROR(VLOOKUP(C1535,Lookups!$A$3:$C$7,3,FALSE),"UNMAPPED")</f>
        <v/>
      </c>
    </row>
    <row r="1536">
      <c r="A1536" s="5" t="n">
        <v>46265</v>
      </c>
      <c r="B1536" t="inlineStr">
        <is>
          <t>CZ</t>
        </is>
      </c>
      <c r="C1536" t="inlineStr">
        <is>
          <t>PL_STD</t>
        </is>
      </c>
      <c r="D1536" t="inlineStr">
        <is>
          <t>1-29</t>
        </is>
      </c>
      <c r="E1536" t="n">
        <v>1</v>
      </c>
      <c r="F1536" t="n">
        <v>18</v>
      </c>
      <c r="G1536" t="n">
        <v>856677.36</v>
      </c>
      <c r="H1536">
        <f>IFERROR(VLOOKUP(C1536,Lookups!$A$3:$C$7,3,FALSE),"UNMAPPED")</f>
        <v/>
      </c>
    </row>
    <row r="1537">
      <c r="A1537" s="5" t="n">
        <v>46265</v>
      </c>
      <c r="B1537" t="inlineStr">
        <is>
          <t>CZ</t>
        </is>
      </c>
      <c r="C1537" t="inlineStr">
        <is>
          <t>PL_STD</t>
        </is>
      </c>
      <c r="D1537" t="inlineStr">
        <is>
          <t>30-59</t>
        </is>
      </c>
      <c r="E1537" t="n">
        <v>30</v>
      </c>
      <c r="F1537" t="n">
        <v>3</v>
      </c>
      <c r="G1537" t="n">
        <v>109333.03</v>
      </c>
      <c r="H1537">
        <f>IFERROR(VLOOKUP(C1537,Lookups!$A$3:$C$7,3,FALSE),"UNMAPPED")</f>
        <v/>
      </c>
    </row>
    <row r="1538">
      <c r="A1538" s="5" t="n">
        <v>46265</v>
      </c>
      <c r="B1538" t="inlineStr">
        <is>
          <t>CZ</t>
        </is>
      </c>
      <c r="C1538" t="inlineStr">
        <is>
          <t>PL_STD</t>
        </is>
      </c>
      <c r="D1538" t="inlineStr">
        <is>
          <t>60-89</t>
        </is>
      </c>
      <c r="E1538" t="n">
        <v>60</v>
      </c>
      <c r="F1538" t="n">
        <v>12</v>
      </c>
      <c r="G1538" t="n">
        <v>830297.39</v>
      </c>
      <c r="H1538">
        <f>IFERROR(VLOOKUP(C1538,Lookups!$A$3:$C$7,3,FALSE),"UNMAPPED")</f>
        <v/>
      </c>
    </row>
    <row r="1539">
      <c r="A1539" s="5" t="n">
        <v>46265</v>
      </c>
      <c r="B1539" t="inlineStr">
        <is>
          <t>CZ</t>
        </is>
      </c>
      <c r="C1539" t="inlineStr">
        <is>
          <t>PL_STD</t>
        </is>
      </c>
      <c r="D1539" t="inlineStr">
        <is>
          <t>90-179</t>
        </is>
      </c>
      <c r="E1539" t="n">
        <v>90</v>
      </c>
      <c r="F1539" t="n">
        <v>8</v>
      </c>
      <c r="G1539" t="n">
        <v>436061.85</v>
      </c>
      <c r="H1539">
        <f>IFERROR(VLOOKUP(C1539,Lookups!$A$3:$C$7,3,FALSE),"UNMAPPED")</f>
        <v/>
      </c>
    </row>
    <row r="1540">
      <c r="A1540" s="5" t="n">
        <v>46265</v>
      </c>
      <c r="B1540" t="inlineStr">
        <is>
          <t>PL</t>
        </is>
      </c>
      <c r="C1540" t="inlineStr">
        <is>
          <t>CC_CLASSIC</t>
        </is>
      </c>
      <c r="D1540" t="inlineStr">
        <is>
          <t>Current</t>
        </is>
      </c>
      <c r="E1540" t="n">
        <v>0</v>
      </c>
      <c r="F1540" t="n">
        <v>2257</v>
      </c>
      <c r="G1540" t="n">
        <v>6645887.87</v>
      </c>
      <c r="H1540">
        <f>IFERROR(VLOOKUP(C1540,Lookups!$A$3:$C$7,3,FALSE),"UNMAPPED")</f>
        <v/>
      </c>
    </row>
    <row r="1541">
      <c r="A1541" s="5" t="n">
        <v>46265</v>
      </c>
      <c r="B1541" t="inlineStr">
        <is>
          <t>PL</t>
        </is>
      </c>
      <c r="C1541" t="inlineStr">
        <is>
          <t>CC_CLASSIC</t>
        </is>
      </c>
      <c r="D1541" t="inlineStr">
        <is>
          <t>1-29</t>
        </is>
      </c>
      <c r="E1541" t="n">
        <v>1</v>
      </c>
      <c r="F1541" t="n">
        <v>30</v>
      </c>
      <c r="G1541" t="n">
        <v>99984.3</v>
      </c>
      <c r="H1541">
        <f>IFERROR(VLOOKUP(C1541,Lookups!$A$3:$C$7,3,FALSE),"UNMAPPED")</f>
        <v/>
      </c>
    </row>
    <row r="1542">
      <c r="A1542" s="5" t="n">
        <v>46265</v>
      </c>
      <c r="B1542" t="inlineStr">
        <is>
          <t>PL</t>
        </is>
      </c>
      <c r="C1542" t="inlineStr">
        <is>
          <t>CC_CLASSIC</t>
        </is>
      </c>
      <c r="D1542" t="inlineStr">
        <is>
          <t>30-59</t>
        </is>
      </c>
      <c r="E1542" t="n">
        <v>30</v>
      </c>
      <c r="F1542" t="n">
        <v>19</v>
      </c>
      <c r="G1542" t="n">
        <v>63762.74</v>
      </c>
      <c r="H1542">
        <f>IFERROR(VLOOKUP(C1542,Lookups!$A$3:$C$7,3,FALSE),"UNMAPPED")</f>
        <v/>
      </c>
    </row>
    <row r="1543">
      <c r="A1543" s="5" t="n">
        <v>46265</v>
      </c>
      <c r="B1543" t="inlineStr">
        <is>
          <t>PL</t>
        </is>
      </c>
      <c r="C1543" t="inlineStr">
        <is>
          <t>CC_CLASSIC</t>
        </is>
      </c>
      <c r="D1543" t="inlineStr">
        <is>
          <t>60-89</t>
        </is>
      </c>
      <c r="E1543" t="n">
        <v>60</v>
      </c>
      <c r="F1543" t="n">
        <v>14</v>
      </c>
      <c r="G1543" t="n">
        <v>49956.73</v>
      </c>
      <c r="H1543">
        <f>IFERROR(VLOOKUP(C1543,Lookups!$A$3:$C$7,3,FALSE),"UNMAPPED")</f>
        <v/>
      </c>
    </row>
    <row r="1544">
      <c r="A1544" s="5" t="n">
        <v>46265</v>
      </c>
      <c r="B1544" t="inlineStr">
        <is>
          <t>PL</t>
        </is>
      </c>
      <c r="C1544" t="inlineStr">
        <is>
          <t>CC_CLASSIC</t>
        </is>
      </c>
      <c r="D1544" t="inlineStr">
        <is>
          <t>90-179</t>
        </is>
      </c>
      <c r="E1544" t="n">
        <v>90</v>
      </c>
      <c r="F1544" t="n">
        <v>26</v>
      </c>
      <c r="G1544" t="n">
        <v>79858.97</v>
      </c>
      <c r="H1544">
        <f>IFERROR(VLOOKUP(C1544,Lookups!$A$3:$C$7,3,FALSE),"UNMAPPED")</f>
        <v/>
      </c>
    </row>
    <row r="1545">
      <c r="A1545" s="5" t="n">
        <v>46265</v>
      </c>
      <c r="B1545" t="inlineStr">
        <is>
          <t>PL</t>
        </is>
      </c>
      <c r="C1545" t="inlineStr">
        <is>
          <t>CC_CONSOL</t>
        </is>
      </c>
      <c r="D1545" t="inlineStr">
        <is>
          <t>Current</t>
        </is>
      </c>
      <c r="E1545" t="n">
        <v>0</v>
      </c>
      <c r="F1545" t="n">
        <v>252</v>
      </c>
      <c r="G1545" t="n">
        <v>5901769.67</v>
      </c>
      <c r="H1545">
        <f>IFERROR(VLOOKUP(C1545,Lookups!$A$3:$C$7,3,FALSE),"UNMAPPED")</f>
        <v/>
      </c>
    </row>
    <row r="1546">
      <c r="A1546" s="5" t="n">
        <v>46265</v>
      </c>
      <c r="B1546" t="inlineStr">
        <is>
          <t>PL</t>
        </is>
      </c>
      <c r="C1546" t="inlineStr">
        <is>
          <t>CC_CONSOL</t>
        </is>
      </c>
      <c r="D1546" t="inlineStr">
        <is>
          <t>1-29</t>
        </is>
      </c>
      <c r="E1546" t="n">
        <v>1</v>
      </c>
      <c r="F1546" t="n">
        <v>2</v>
      </c>
      <c r="G1546" t="n">
        <v>57045.04</v>
      </c>
      <c r="H1546">
        <f>IFERROR(VLOOKUP(C1546,Lookups!$A$3:$C$7,3,FALSE),"UNMAPPED")</f>
        <v/>
      </c>
    </row>
    <row r="1547">
      <c r="A1547" s="5" t="n">
        <v>46265</v>
      </c>
      <c r="B1547" t="inlineStr">
        <is>
          <t>PL</t>
        </is>
      </c>
      <c r="C1547" t="inlineStr">
        <is>
          <t>CC_CONSOL</t>
        </is>
      </c>
      <c r="D1547" t="inlineStr">
        <is>
          <t>30-59</t>
        </is>
      </c>
      <c r="E1547" t="n">
        <v>30</v>
      </c>
      <c r="F1547" t="n">
        <v>2</v>
      </c>
      <c r="G1547" t="n">
        <v>55407.82</v>
      </c>
      <c r="H1547">
        <f>IFERROR(VLOOKUP(C1547,Lookups!$A$3:$C$7,3,FALSE),"UNMAPPED")</f>
        <v/>
      </c>
    </row>
    <row r="1548">
      <c r="A1548" s="5" t="n">
        <v>46265</v>
      </c>
      <c r="B1548" t="inlineStr">
        <is>
          <t>PL</t>
        </is>
      </c>
      <c r="C1548" t="inlineStr">
        <is>
          <t>CC_CONSOL</t>
        </is>
      </c>
      <c r="D1548" t="inlineStr">
        <is>
          <t>60-89</t>
        </is>
      </c>
      <c r="E1548" t="n">
        <v>60</v>
      </c>
      <c r="F1548" t="n">
        <v>3</v>
      </c>
      <c r="G1548" t="n">
        <v>99379.74000000001</v>
      </c>
      <c r="H1548">
        <f>IFERROR(VLOOKUP(C1548,Lookups!$A$3:$C$7,3,FALSE),"UNMAPPED")</f>
        <v/>
      </c>
    </row>
    <row r="1549">
      <c r="A1549" s="5" t="n">
        <v>46265</v>
      </c>
      <c r="B1549" t="inlineStr">
        <is>
          <t>PL</t>
        </is>
      </c>
      <c r="C1549" t="inlineStr">
        <is>
          <t>CC_CONSOL</t>
        </is>
      </c>
      <c r="D1549" t="inlineStr">
        <is>
          <t>90-179</t>
        </is>
      </c>
      <c r="E1549" t="n">
        <v>90</v>
      </c>
      <c r="F1549" t="n">
        <v>4</v>
      </c>
      <c r="G1549" t="n">
        <v>161661.4</v>
      </c>
      <c r="H1549">
        <f>IFERROR(VLOOKUP(C1549,Lookups!$A$3:$C$7,3,FALSE),"UNMAPPED")</f>
        <v/>
      </c>
    </row>
    <row r="1550">
      <c r="A1550" s="5" t="n">
        <v>46265</v>
      </c>
      <c r="B1550" t="inlineStr">
        <is>
          <t>PL</t>
        </is>
      </c>
      <c r="C1550" t="inlineStr">
        <is>
          <t>CC_GOLD</t>
        </is>
      </c>
      <c r="D1550" t="inlineStr">
        <is>
          <t>Current</t>
        </is>
      </c>
      <c r="E1550" t="n">
        <v>0</v>
      </c>
      <c r="F1550" t="n">
        <v>628</v>
      </c>
      <c r="G1550" t="n">
        <v>6421518.56</v>
      </c>
      <c r="H1550">
        <f>IFERROR(VLOOKUP(C1550,Lookups!$A$3:$C$7,3,FALSE),"UNMAPPED")</f>
        <v/>
      </c>
    </row>
    <row r="1551">
      <c r="A1551" s="5" t="n">
        <v>46265</v>
      </c>
      <c r="B1551" t="inlineStr">
        <is>
          <t>PL</t>
        </is>
      </c>
      <c r="C1551" t="inlineStr">
        <is>
          <t>CC_GOLD</t>
        </is>
      </c>
      <c r="D1551" t="inlineStr">
        <is>
          <t>1-29</t>
        </is>
      </c>
      <c r="E1551" t="n">
        <v>1</v>
      </c>
      <c r="F1551" t="n">
        <v>12</v>
      </c>
      <c r="G1551" t="n">
        <v>157904.68</v>
      </c>
      <c r="H1551">
        <f>IFERROR(VLOOKUP(C1551,Lookups!$A$3:$C$7,3,FALSE),"UNMAPPED")</f>
        <v/>
      </c>
    </row>
    <row r="1552">
      <c r="A1552" s="5" t="n">
        <v>46265</v>
      </c>
      <c r="B1552" t="inlineStr">
        <is>
          <t>PL</t>
        </is>
      </c>
      <c r="C1552" t="inlineStr">
        <is>
          <t>CC_GOLD</t>
        </is>
      </c>
      <c r="D1552" t="inlineStr">
        <is>
          <t>30-59</t>
        </is>
      </c>
      <c r="E1552" t="n">
        <v>30</v>
      </c>
      <c r="F1552" t="n">
        <v>4</v>
      </c>
      <c r="G1552" t="n">
        <v>41957.3</v>
      </c>
      <c r="H1552">
        <f>IFERROR(VLOOKUP(C1552,Lookups!$A$3:$C$7,3,FALSE),"UNMAPPED")</f>
        <v/>
      </c>
    </row>
    <row r="1553">
      <c r="A1553" s="5" t="n">
        <v>46265</v>
      </c>
      <c r="B1553" t="inlineStr">
        <is>
          <t>PL</t>
        </is>
      </c>
      <c r="C1553" t="inlineStr">
        <is>
          <t>CC_GOLD</t>
        </is>
      </c>
      <c r="D1553" t="inlineStr">
        <is>
          <t>60-89</t>
        </is>
      </c>
      <c r="E1553" t="n">
        <v>60</v>
      </c>
      <c r="F1553" t="n">
        <v>2</v>
      </c>
      <c r="G1553" t="n">
        <v>27118.54</v>
      </c>
      <c r="H1553">
        <f>IFERROR(VLOOKUP(C1553,Lookups!$A$3:$C$7,3,FALSE),"UNMAPPED")</f>
        <v/>
      </c>
    </row>
    <row r="1554">
      <c r="A1554" s="5" t="n">
        <v>46265</v>
      </c>
      <c r="B1554" t="inlineStr">
        <is>
          <t>PL</t>
        </is>
      </c>
      <c r="C1554" t="inlineStr">
        <is>
          <t>CC_GOLD</t>
        </is>
      </c>
      <c r="D1554" t="inlineStr">
        <is>
          <t>90-179</t>
        </is>
      </c>
      <c r="E1554" t="n">
        <v>90</v>
      </c>
      <c r="F1554" t="n">
        <v>10</v>
      </c>
      <c r="G1554" t="n">
        <v>90557.12</v>
      </c>
      <c r="H1554">
        <f>IFERROR(VLOOKUP(C1554,Lookups!$A$3:$C$7,3,FALSE),"UNMAPPED")</f>
        <v/>
      </c>
    </row>
    <row r="1555">
      <c r="A1555" s="5" t="n">
        <v>46265</v>
      </c>
      <c r="B1555" t="inlineStr">
        <is>
          <t>PL</t>
        </is>
      </c>
      <c r="C1555" t="inlineStr">
        <is>
          <t>PL_PREM</t>
        </is>
      </c>
      <c r="D1555" t="inlineStr">
        <is>
          <t>Current</t>
        </is>
      </c>
      <c r="E1555" t="n">
        <v>0</v>
      </c>
      <c r="F1555" t="n">
        <v>619</v>
      </c>
      <c r="G1555" t="n">
        <v>23371408.07</v>
      </c>
      <c r="H1555">
        <f>IFERROR(VLOOKUP(C1555,Lookups!$A$3:$C$7,3,FALSE),"UNMAPPED")</f>
        <v/>
      </c>
    </row>
    <row r="1556">
      <c r="A1556" s="5" t="n">
        <v>46265</v>
      </c>
      <c r="B1556" t="inlineStr">
        <is>
          <t>PL</t>
        </is>
      </c>
      <c r="C1556" t="inlineStr">
        <is>
          <t>PL_PREM</t>
        </is>
      </c>
      <c r="D1556" t="inlineStr">
        <is>
          <t>1-29</t>
        </is>
      </c>
      <c r="E1556" t="n">
        <v>1</v>
      </c>
      <c r="F1556" t="n">
        <v>15</v>
      </c>
      <c r="G1556" t="n">
        <v>467122.47</v>
      </c>
      <c r="H1556">
        <f>IFERROR(VLOOKUP(C1556,Lookups!$A$3:$C$7,3,FALSE),"UNMAPPED")</f>
        <v/>
      </c>
    </row>
    <row r="1557">
      <c r="A1557" s="5" t="n">
        <v>46265</v>
      </c>
      <c r="B1557" t="inlineStr">
        <is>
          <t>PL</t>
        </is>
      </c>
      <c r="C1557" t="inlineStr">
        <is>
          <t>PL_PREM</t>
        </is>
      </c>
      <c r="D1557" t="inlineStr">
        <is>
          <t>30-59</t>
        </is>
      </c>
      <c r="E1557" t="n">
        <v>30</v>
      </c>
      <c r="F1557" t="n">
        <v>8</v>
      </c>
      <c r="G1557" t="n">
        <v>312137.59</v>
      </c>
      <c r="H1557">
        <f>IFERROR(VLOOKUP(C1557,Lookups!$A$3:$C$7,3,FALSE),"UNMAPPED")</f>
        <v/>
      </c>
    </row>
    <row r="1558">
      <c r="A1558" s="5" t="n">
        <v>46265</v>
      </c>
      <c r="B1558" t="inlineStr">
        <is>
          <t>PL</t>
        </is>
      </c>
      <c r="C1558" t="inlineStr">
        <is>
          <t>PL_PREM</t>
        </is>
      </c>
      <c r="D1558" t="inlineStr">
        <is>
          <t>60-89</t>
        </is>
      </c>
      <c r="E1558" t="n">
        <v>60</v>
      </c>
      <c r="F1558" t="n">
        <v>4</v>
      </c>
      <c r="G1558" t="n">
        <v>124762.63</v>
      </c>
      <c r="H1558">
        <f>IFERROR(VLOOKUP(C1558,Lookups!$A$3:$C$7,3,FALSE),"UNMAPPED")</f>
        <v/>
      </c>
    </row>
    <row r="1559">
      <c r="A1559" s="5" t="n">
        <v>46265</v>
      </c>
      <c r="B1559" t="inlineStr">
        <is>
          <t>PL</t>
        </is>
      </c>
      <c r="C1559" t="inlineStr">
        <is>
          <t>PL_PREM</t>
        </is>
      </c>
      <c r="D1559" t="inlineStr">
        <is>
          <t>90-179</t>
        </is>
      </c>
      <c r="E1559" t="n">
        <v>90</v>
      </c>
      <c r="F1559" t="n">
        <v>6</v>
      </c>
      <c r="G1559" t="n">
        <v>275807.95</v>
      </c>
      <c r="H1559">
        <f>IFERROR(VLOOKUP(C1559,Lookups!$A$3:$C$7,3,FALSE),"UNMAPPED")</f>
        <v/>
      </c>
    </row>
    <row r="1560">
      <c r="A1560" s="5" t="n">
        <v>46265</v>
      </c>
      <c r="B1560" t="inlineStr">
        <is>
          <t>PL</t>
        </is>
      </c>
      <c r="C1560" t="inlineStr">
        <is>
          <t>PL_STD</t>
        </is>
      </c>
      <c r="D1560" t="inlineStr">
        <is>
          <t>Current</t>
        </is>
      </c>
      <c r="E1560" t="n">
        <v>0</v>
      </c>
      <c r="F1560" t="n">
        <v>1220</v>
      </c>
      <c r="G1560" t="n">
        <v>13513267.48</v>
      </c>
      <c r="H1560">
        <f>IFERROR(VLOOKUP(C1560,Lookups!$A$3:$C$7,3,FALSE),"UNMAPPED")</f>
        <v/>
      </c>
    </row>
    <row r="1561">
      <c r="A1561" s="5" t="n">
        <v>46265</v>
      </c>
      <c r="B1561" t="inlineStr">
        <is>
          <t>PL</t>
        </is>
      </c>
      <c r="C1561" t="inlineStr">
        <is>
          <t>PL_STD</t>
        </is>
      </c>
      <c r="D1561" t="inlineStr">
        <is>
          <t>1-29</t>
        </is>
      </c>
      <c r="E1561" t="n">
        <v>1</v>
      </c>
      <c r="F1561" t="n">
        <v>16</v>
      </c>
      <c r="G1561" t="n">
        <v>252724.79</v>
      </c>
      <c r="H1561">
        <f>IFERROR(VLOOKUP(C1561,Lookups!$A$3:$C$7,3,FALSE),"UNMAPPED")</f>
        <v/>
      </c>
    </row>
    <row r="1562">
      <c r="A1562" s="5" t="n">
        <v>46265</v>
      </c>
      <c r="B1562" t="inlineStr">
        <is>
          <t>PL</t>
        </is>
      </c>
      <c r="C1562" t="inlineStr">
        <is>
          <t>PL_STD</t>
        </is>
      </c>
      <c r="D1562" t="inlineStr">
        <is>
          <t>30-59</t>
        </is>
      </c>
      <c r="E1562" t="n">
        <v>30</v>
      </c>
      <c r="F1562" t="n">
        <v>16</v>
      </c>
      <c r="G1562" t="n">
        <v>173051.5</v>
      </c>
      <c r="H1562">
        <f>IFERROR(VLOOKUP(C1562,Lookups!$A$3:$C$7,3,FALSE),"UNMAPPED")</f>
        <v/>
      </c>
    </row>
    <row r="1563">
      <c r="A1563" s="5" t="n">
        <v>46265</v>
      </c>
      <c r="B1563" t="inlineStr">
        <is>
          <t>PL</t>
        </is>
      </c>
      <c r="C1563" t="inlineStr">
        <is>
          <t>PL_STD</t>
        </is>
      </c>
      <c r="D1563" t="inlineStr">
        <is>
          <t>60-89</t>
        </is>
      </c>
      <c r="E1563" t="n">
        <v>60</v>
      </c>
      <c r="F1563" t="n">
        <v>7</v>
      </c>
      <c r="G1563" t="n">
        <v>111098.82</v>
      </c>
      <c r="H1563">
        <f>IFERROR(VLOOKUP(C1563,Lookups!$A$3:$C$7,3,FALSE),"UNMAPPED")</f>
        <v/>
      </c>
    </row>
    <row r="1564">
      <c r="A1564" s="5" t="n">
        <v>46265</v>
      </c>
      <c r="B1564" t="inlineStr">
        <is>
          <t>PL</t>
        </is>
      </c>
      <c r="C1564" t="inlineStr">
        <is>
          <t>PL_STD</t>
        </is>
      </c>
      <c r="D1564" t="inlineStr">
        <is>
          <t>90-179</t>
        </is>
      </c>
      <c r="E1564" t="n">
        <v>90</v>
      </c>
      <c r="F1564" t="n">
        <v>26</v>
      </c>
      <c r="G1564" t="n">
        <v>307546.8</v>
      </c>
      <c r="H1564">
        <f>IFERROR(VLOOKUP(C1564,Lookups!$A$3:$C$7,3,FALSE),"UNMAPPED")</f>
        <v/>
      </c>
    </row>
    <row r="1565">
      <c r="A1565" s="5" t="n">
        <v>46265</v>
      </c>
      <c r="B1565" t="inlineStr">
        <is>
          <t>RO</t>
        </is>
      </c>
      <c r="C1565" t="inlineStr">
        <is>
          <t>CC_CLASSIC</t>
        </is>
      </c>
      <c r="D1565" t="inlineStr">
        <is>
          <t>Current</t>
        </is>
      </c>
      <c r="E1565" t="n">
        <v>0</v>
      </c>
      <c r="F1565" t="n">
        <v>1240</v>
      </c>
      <c r="G1565" t="n">
        <v>4261374.69</v>
      </c>
      <c r="H1565">
        <f>IFERROR(VLOOKUP(C1565,Lookups!$A$3:$C$7,3,FALSE),"UNMAPPED")</f>
        <v/>
      </c>
    </row>
    <row r="1566">
      <c r="A1566" s="5" t="n">
        <v>46265</v>
      </c>
      <c r="B1566" t="inlineStr">
        <is>
          <t>RO</t>
        </is>
      </c>
      <c r="C1566" t="inlineStr">
        <is>
          <t>CC_CLASSIC</t>
        </is>
      </c>
      <c r="D1566" t="inlineStr">
        <is>
          <t>1-29</t>
        </is>
      </c>
      <c r="E1566" t="n">
        <v>1</v>
      </c>
      <c r="F1566" t="n">
        <v>32</v>
      </c>
      <c r="G1566" t="n">
        <v>118177.41</v>
      </c>
      <c r="H1566">
        <f>IFERROR(VLOOKUP(C1566,Lookups!$A$3:$C$7,3,FALSE),"UNMAPPED")</f>
        <v/>
      </c>
    </row>
    <row r="1567">
      <c r="A1567" s="5" t="n">
        <v>46265</v>
      </c>
      <c r="B1567" t="inlineStr">
        <is>
          <t>RO</t>
        </is>
      </c>
      <c r="C1567" t="inlineStr">
        <is>
          <t>CC_CLASSIC</t>
        </is>
      </c>
      <c r="D1567" t="inlineStr">
        <is>
          <t>30-59</t>
        </is>
      </c>
      <c r="E1567" t="n">
        <v>30</v>
      </c>
      <c r="F1567" t="n">
        <v>9</v>
      </c>
      <c r="G1567" t="n">
        <v>43874.66</v>
      </c>
      <c r="H1567">
        <f>IFERROR(VLOOKUP(C1567,Lookups!$A$3:$C$7,3,FALSE),"UNMAPPED")</f>
        <v/>
      </c>
    </row>
    <row r="1568">
      <c r="A1568" s="5" t="n">
        <v>46265</v>
      </c>
      <c r="B1568" t="inlineStr">
        <is>
          <t>RO</t>
        </is>
      </c>
      <c r="C1568" t="inlineStr">
        <is>
          <t>CC_CLASSIC</t>
        </is>
      </c>
      <c r="D1568" t="inlineStr">
        <is>
          <t>60-89</t>
        </is>
      </c>
      <c r="E1568" t="n">
        <v>60</v>
      </c>
      <c r="F1568" t="n">
        <v>19</v>
      </c>
      <c r="G1568" t="n">
        <v>72360.44</v>
      </c>
      <c r="H1568">
        <f>IFERROR(VLOOKUP(C1568,Lookups!$A$3:$C$7,3,FALSE),"UNMAPPED")</f>
        <v/>
      </c>
    </row>
    <row r="1569">
      <c r="A1569" s="5" t="n">
        <v>46265</v>
      </c>
      <c r="B1569" t="inlineStr">
        <is>
          <t>RO</t>
        </is>
      </c>
      <c r="C1569" t="inlineStr">
        <is>
          <t>CC_CLASSIC</t>
        </is>
      </c>
      <c r="D1569" t="inlineStr">
        <is>
          <t>90-179</t>
        </is>
      </c>
      <c r="E1569" t="n">
        <v>90</v>
      </c>
      <c r="F1569" t="n">
        <v>23</v>
      </c>
      <c r="G1569" t="n">
        <v>89217.59</v>
      </c>
      <c r="H1569">
        <f>IFERROR(VLOOKUP(C1569,Lookups!$A$3:$C$7,3,FALSE),"UNMAPPED")</f>
        <v/>
      </c>
    </row>
    <row r="1570">
      <c r="A1570" s="5" t="n">
        <v>46265</v>
      </c>
      <c r="B1570" t="inlineStr">
        <is>
          <t>RO</t>
        </is>
      </c>
      <c r="C1570" t="inlineStr">
        <is>
          <t>CC_CONSOL</t>
        </is>
      </c>
      <c r="D1570" t="inlineStr">
        <is>
          <t>Current</t>
        </is>
      </c>
      <c r="E1570" t="n">
        <v>0</v>
      </c>
      <c r="F1570" t="n">
        <v>154</v>
      </c>
      <c r="G1570" t="n">
        <v>4486184.88</v>
      </c>
      <c r="H1570">
        <f>IFERROR(VLOOKUP(C1570,Lookups!$A$3:$C$7,3,FALSE),"UNMAPPED")</f>
        <v/>
      </c>
    </row>
    <row r="1571">
      <c r="A1571" s="5" t="n">
        <v>46265</v>
      </c>
      <c r="B1571" t="inlineStr">
        <is>
          <t>RO</t>
        </is>
      </c>
      <c r="C1571" t="inlineStr">
        <is>
          <t>CC_CONSOL</t>
        </is>
      </c>
      <c r="D1571" t="inlineStr">
        <is>
          <t>30-59</t>
        </is>
      </c>
      <c r="E1571" t="n">
        <v>30</v>
      </c>
      <c r="F1571" t="n">
        <v>1</v>
      </c>
      <c r="G1571" t="n">
        <v>12458.91</v>
      </c>
      <c r="H1571">
        <f>IFERROR(VLOOKUP(C1571,Lookups!$A$3:$C$7,3,FALSE),"UNMAPPED")</f>
        <v/>
      </c>
    </row>
    <row r="1572">
      <c r="A1572" s="5" t="n">
        <v>46265</v>
      </c>
      <c r="B1572" t="inlineStr">
        <is>
          <t>RO</t>
        </is>
      </c>
      <c r="C1572" t="inlineStr">
        <is>
          <t>CC_CONSOL</t>
        </is>
      </c>
      <c r="D1572" t="inlineStr">
        <is>
          <t>60-89</t>
        </is>
      </c>
      <c r="E1572" t="n">
        <v>60</v>
      </c>
      <c r="F1572" t="n">
        <v>1</v>
      </c>
      <c r="G1572" t="n">
        <v>20471.39</v>
      </c>
      <c r="H1572">
        <f>IFERROR(VLOOKUP(C1572,Lookups!$A$3:$C$7,3,FALSE),"UNMAPPED")</f>
        <v/>
      </c>
    </row>
    <row r="1573">
      <c r="A1573" s="5" t="n">
        <v>46265</v>
      </c>
      <c r="B1573" t="inlineStr">
        <is>
          <t>RO</t>
        </is>
      </c>
      <c r="C1573" t="inlineStr">
        <is>
          <t>CC_CONSOL</t>
        </is>
      </c>
      <c r="D1573" t="inlineStr">
        <is>
          <t>90-179</t>
        </is>
      </c>
      <c r="E1573" t="n">
        <v>90</v>
      </c>
      <c r="F1573" t="n">
        <v>1</v>
      </c>
      <c r="G1573" t="n">
        <v>38026.55</v>
      </c>
      <c r="H1573">
        <f>IFERROR(VLOOKUP(C1573,Lookups!$A$3:$C$7,3,FALSE),"UNMAPPED")</f>
        <v/>
      </c>
    </row>
    <row r="1574">
      <c r="A1574" s="5" t="n">
        <v>46265</v>
      </c>
      <c r="B1574" t="inlineStr">
        <is>
          <t>RO</t>
        </is>
      </c>
      <c r="C1574" t="inlineStr">
        <is>
          <t>CC_GOLD</t>
        </is>
      </c>
      <c r="D1574" t="inlineStr">
        <is>
          <t>Current</t>
        </is>
      </c>
      <c r="E1574" t="n">
        <v>0</v>
      </c>
      <c r="F1574" t="n">
        <v>353</v>
      </c>
      <c r="G1574" t="n">
        <v>4087000.86</v>
      </c>
      <c r="H1574">
        <f>IFERROR(VLOOKUP(C1574,Lookups!$A$3:$C$7,3,FALSE),"UNMAPPED")</f>
        <v/>
      </c>
    </row>
    <row r="1575">
      <c r="A1575" s="5" t="n">
        <v>46265</v>
      </c>
      <c r="B1575" t="inlineStr">
        <is>
          <t>RO</t>
        </is>
      </c>
      <c r="C1575" t="inlineStr">
        <is>
          <t>CC_GOLD</t>
        </is>
      </c>
      <c r="D1575" t="inlineStr">
        <is>
          <t>1-29</t>
        </is>
      </c>
      <c r="E1575" t="n">
        <v>1</v>
      </c>
      <c r="F1575" t="n">
        <v>9</v>
      </c>
      <c r="G1575" t="n">
        <v>110153.61</v>
      </c>
      <c r="H1575">
        <f>IFERROR(VLOOKUP(C1575,Lookups!$A$3:$C$7,3,FALSE),"UNMAPPED")</f>
        <v/>
      </c>
    </row>
    <row r="1576">
      <c r="A1576" s="5" t="n">
        <v>46265</v>
      </c>
      <c r="B1576" t="inlineStr">
        <is>
          <t>RO</t>
        </is>
      </c>
      <c r="C1576" t="inlineStr">
        <is>
          <t>CC_GOLD</t>
        </is>
      </c>
      <c r="D1576" t="inlineStr">
        <is>
          <t>30-59</t>
        </is>
      </c>
      <c r="E1576" t="n">
        <v>30</v>
      </c>
      <c r="F1576" t="n">
        <v>3</v>
      </c>
      <c r="G1576" t="n">
        <v>38999.6</v>
      </c>
      <c r="H1576">
        <f>IFERROR(VLOOKUP(C1576,Lookups!$A$3:$C$7,3,FALSE),"UNMAPPED")</f>
        <v/>
      </c>
    </row>
    <row r="1577">
      <c r="A1577" s="5" t="n">
        <v>46265</v>
      </c>
      <c r="B1577" t="inlineStr">
        <is>
          <t>RO</t>
        </is>
      </c>
      <c r="C1577" t="inlineStr">
        <is>
          <t>CC_GOLD</t>
        </is>
      </c>
      <c r="D1577" t="inlineStr">
        <is>
          <t>60-89</t>
        </is>
      </c>
      <c r="E1577" t="n">
        <v>60</v>
      </c>
      <c r="F1577" t="n">
        <v>1</v>
      </c>
      <c r="G1577" t="n">
        <v>2663.57</v>
      </c>
      <c r="H1577">
        <f>IFERROR(VLOOKUP(C1577,Lookups!$A$3:$C$7,3,FALSE),"UNMAPPED")</f>
        <v/>
      </c>
    </row>
    <row r="1578">
      <c r="A1578" s="5" t="n">
        <v>46265</v>
      </c>
      <c r="B1578" t="inlineStr">
        <is>
          <t>RO</t>
        </is>
      </c>
      <c r="C1578" t="inlineStr">
        <is>
          <t>CC_GOLD</t>
        </is>
      </c>
      <c r="D1578" t="inlineStr">
        <is>
          <t>90-179</t>
        </is>
      </c>
      <c r="E1578" t="n">
        <v>90</v>
      </c>
      <c r="F1578" t="n">
        <v>10</v>
      </c>
      <c r="G1578" t="n">
        <v>117794.78</v>
      </c>
      <c r="H1578">
        <f>IFERROR(VLOOKUP(C1578,Lookups!$A$3:$C$7,3,FALSE),"UNMAPPED")</f>
        <v/>
      </c>
    </row>
    <row r="1579">
      <c r="A1579" s="5" t="n">
        <v>46265</v>
      </c>
      <c r="B1579" t="inlineStr">
        <is>
          <t>RO</t>
        </is>
      </c>
      <c r="C1579" t="inlineStr">
        <is>
          <t>PL_PREM</t>
        </is>
      </c>
      <c r="D1579" t="inlineStr">
        <is>
          <t>Current</t>
        </is>
      </c>
      <c r="E1579" t="n">
        <v>0</v>
      </c>
      <c r="F1579" t="n">
        <v>361</v>
      </c>
      <c r="G1579" t="n">
        <v>15557173.1</v>
      </c>
      <c r="H1579">
        <f>IFERROR(VLOOKUP(C1579,Lookups!$A$3:$C$7,3,FALSE),"UNMAPPED")</f>
        <v/>
      </c>
    </row>
    <row r="1580">
      <c r="A1580" s="5" t="n">
        <v>46265</v>
      </c>
      <c r="B1580" t="inlineStr">
        <is>
          <t>RO</t>
        </is>
      </c>
      <c r="C1580" t="inlineStr">
        <is>
          <t>PL_PREM</t>
        </is>
      </c>
      <c r="D1580" t="inlineStr">
        <is>
          <t>1-29</t>
        </is>
      </c>
      <c r="E1580" t="n">
        <v>1</v>
      </c>
      <c r="F1580" t="n">
        <v>8</v>
      </c>
      <c r="G1580" t="n">
        <v>387994.46</v>
      </c>
      <c r="H1580">
        <f>IFERROR(VLOOKUP(C1580,Lookups!$A$3:$C$7,3,FALSE),"UNMAPPED")</f>
        <v/>
      </c>
    </row>
    <row r="1581">
      <c r="A1581" s="5" t="n">
        <v>46265</v>
      </c>
      <c r="B1581" t="inlineStr">
        <is>
          <t>RO</t>
        </is>
      </c>
      <c r="C1581" t="inlineStr">
        <is>
          <t>PL_PREM</t>
        </is>
      </c>
      <c r="D1581" t="inlineStr">
        <is>
          <t>30-59</t>
        </is>
      </c>
      <c r="E1581" t="n">
        <v>30</v>
      </c>
      <c r="F1581" t="n">
        <v>4</v>
      </c>
      <c r="G1581" t="n">
        <v>96484.53999999999</v>
      </c>
      <c r="H1581">
        <f>IFERROR(VLOOKUP(C1581,Lookups!$A$3:$C$7,3,FALSE),"UNMAPPED")</f>
        <v/>
      </c>
    </row>
    <row r="1582">
      <c r="A1582" s="5" t="n">
        <v>46265</v>
      </c>
      <c r="B1582" t="inlineStr">
        <is>
          <t>RO</t>
        </is>
      </c>
      <c r="C1582" t="inlineStr">
        <is>
          <t>PL_PREM</t>
        </is>
      </c>
      <c r="D1582" t="inlineStr">
        <is>
          <t>60-89</t>
        </is>
      </c>
      <c r="E1582" t="n">
        <v>60</v>
      </c>
      <c r="F1582" t="n">
        <v>3</v>
      </c>
      <c r="G1582" t="n">
        <v>158764.43</v>
      </c>
      <c r="H1582">
        <f>IFERROR(VLOOKUP(C1582,Lookups!$A$3:$C$7,3,FALSE),"UNMAPPED")</f>
        <v/>
      </c>
    </row>
    <row r="1583">
      <c r="A1583" s="5" t="n">
        <v>46265</v>
      </c>
      <c r="B1583" t="inlineStr">
        <is>
          <t>RO</t>
        </is>
      </c>
      <c r="C1583" t="inlineStr">
        <is>
          <t>PL_PREM</t>
        </is>
      </c>
      <c r="D1583" t="inlineStr">
        <is>
          <t>90-179</t>
        </is>
      </c>
      <c r="E1583" t="n">
        <v>90</v>
      </c>
      <c r="F1583" t="n">
        <v>7</v>
      </c>
      <c r="G1583" t="n">
        <v>349709.81</v>
      </c>
      <c r="H1583">
        <f>IFERROR(VLOOKUP(C1583,Lookups!$A$3:$C$7,3,FALSE),"UNMAPPED")</f>
        <v/>
      </c>
    </row>
    <row r="1584">
      <c r="A1584" s="5" t="n">
        <v>46265</v>
      </c>
      <c r="B1584" t="inlineStr">
        <is>
          <t>RO</t>
        </is>
      </c>
      <c r="C1584" t="inlineStr">
        <is>
          <t>PL_STD</t>
        </is>
      </c>
      <c r="D1584" t="inlineStr">
        <is>
          <t>Current</t>
        </is>
      </c>
      <c r="E1584" t="n">
        <v>0</v>
      </c>
      <c r="F1584" t="n">
        <v>747</v>
      </c>
      <c r="G1584" t="n">
        <v>10200474.59</v>
      </c>
      <c r="H1584">
        <f>IFERROR(VLOOKUP(C1584,Lookups!$A$3:$C$7,3,FALSE),"UNMAPPED")</f>
        <v/>
      </c>
    </row>
    <row r="1585">
      <c r="A1585" s="5" t="n">
        <v>46265</v>
      </c>
      <c r="B1585" t="inlineStr">
        <is>
          <t>RO</t>
        </is>
      </c>
      <c r="C1585" t="inlineStr">
        <is>
          <t>PL_STD</t>
        </is>
      </c>
      <c r="D1585" t="inlineStr">
        <is>
          <t>1-29</t>
        </is>
      </c>
      <c r="E1585" t="n">
        <v>1</v>
      </c>
      <c r="F1585" t="n">
        <v>39</v>
      </c>
      <c r="G1585" t="n">
        <v>565111.51</v>
      </c>
      <c r="H1585">
        <f>IFERROR(VLOOKUP(C1585,Lookups!$A$3:$C$7,3,FALSE),"UNMAPPED")</f>
        <v/>
      </c>
    </row>
    <row r="1586">
      <c r="A1586" s="5" t="n">
        <v>46265</v>
      </c>
      <c r="B1586" t="inlineStr">
        <is>
          <t>RO</t>
        </is>
      </c>
      <c r="C1586" t="inlineStr">
        <is>
          <t>PL_STD</t>
        </is>
      </c>
      <c r="D1586" t="inlineStr">
        <is>
          <t>30-59</t>
        </is>
      </c>
      <c r="E1586" t="n">
        <v>30</v>
      </c>
      <c r="F1586" t="n">
        <v>6</v>
      </c>
      <c r="G1586" t="n">
        <v>132774.16</v>
      </c>
      <c r="H1586">
        <f>IFERROR(VLOOKUP(C1586,Lookups!$A$3:$C$7,3,FALSE),"UNMAPPED")</f>
        <v/>
      </c>
    </row>
    <row r="1587">
      <c r="A1587" s="5" t="n">
        <v>46265</v>
      </c>
      <c r="B1587" t="inlineStr">
        <is>
          <t>RO</t>
        </is>
      </c>
      <c r="C1587" t="inlineStr">
        <is>
          <t>PL_STD</t>
        </is>
      </c>
      <c r="D1587" t="inlineStr">
        <is>
          <t>60-89</t>
        </is>
      </c>
      <c r="E1587" t="n">
        <v>60</v>
      </c>
      <c r="F1587" t="n">
        <v>9</v>
      </c>
      <c r="G1587" t="n">
        <v>92634.85000000001</v>
      </c>
      <c r="H1587">
        <f>IFERROR(VLOOKUP(C1587,Lookups!$A$3:$C$7,3,FALSE),"UNMAPPED")</f>
        <v/>
      </c>
    </row>
    <row r="1588">
      <c r="A1588" s="5" t="n">
        <v>46265</v>
      </c>
      <c r="B1588" t="inlineStr">
        <is>
          <t>RO</t>
        </is>
      </c>
      <c r="C1588" t="inlineStr">
        <is>
          <t>PL_STD</t>
        </is>
      </c>
      <c r="D1588" t="inlineStr">
        <is>
          <t>90-179</t>
        </is>
      </c>
      <c r="E1588" t="n">
        <v>90</v>
      </c>
      <c r="F1588" t="n">
        <v>22</v>
      </c>
      <c r="G1588" t="n">
        <v>313742.28</v>
      </c>
      <c r="H1588">
        <f>IFERROR(VLOOKUP(C1588,Lookups!$A$3:$C$7,3,FALSE),"UNMAPPED")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month_end</t>
        </is>
      </c>
      <c r="B1" s="4" t="inlineStr">
        <is>
          <t>country_code</t>
        </is>
      </c>
      <c r="C1" s="4" t="inlineStr">
        <is>
          <t>product_code</t>
        </is>
      </c>
      <c r="D1" s="4" t="inlineStr">
        <is>
          <t>new_accounts</t>
        </is>
      </c>
      <c r="E1" s="4" t="inlineStr">
        <is>
          <t>disbursed_local</t>
        </is>
      </c>
    </row>
    <row r="2">
      <c r="A2" s="5" t="n">
        <v>45565</v>
      </c>
      <c r="B2" t="inlineStr">
        <is>
          <t>CZ</t>
        </is>
      </c>
      <c r="C2" t="inlineStr">
        <is>
          <t>CC_CLASSIC</t>
        </is>
      </c>
      <c r="D2" t="n">
        <v>45</v>
      </c>
      <c r="E2" t="n">
        <v>1831000</v>
      </c>
    </row>
    <row r="3">
      <c r="A3" s="5" t="n">
        <v>45565</v>
      </c>
      <c r="B3" t="inlineStr">
        <is>
          <t>CZ</t>
        </is>
      </c>
      <c r="C3" t="inlineStr">
        <is>
          <t>CC_GOLD</t>
        </is>
      </c>
      <c r="D3" t="n">
        <v>15</v>
      </c>
      <c r="E3" t="n">
        <v>2375000</v>
      </c>
    </row>
    <row r="4">
      <c r="A4" s="5" t="n">
        <v>45565</v>
      </c>
      <c r="B4" t="inlineStr">
        <is>
          <t>CZ</t>
        </is>
      </c>
      <c r="C4" t="inlineStr">
        <is>
          <t>PL_PREM</t>
        </is>
      </c>
      <c r="D4" t="n">
        <v>11</v>
      </c>
      <c r="E4" t="n">
        <v>4023000</v>
      </c>
    </row>
    <row r="5">
      <c r="A5" s="5" t="n">
        <v>45565</v>
      </c>
      <c r="B5" t="inlineStr">
        <is>
          <t>CZ</t>
        </is>
      </c>
      <c r="C5" t="inlineStr">
        <is>
          <t>PL_STD</t>
        </is>
      </c>
      <c r="D5" t="n">
        <v>53</v>
      </c>
      <c r="E5" t="n">
        <v>6344000</v>
      </c>
    </row>
    <row r="6">
      <c r="A6" s="5" t="n">
        <v>45565</v>
      </c>
      <c r="B6" t="inlineStr">
        <is>
          <t>PL</t>
        </is>
      </c>
      <c r="C6" t="inlineStr">
        <is>
          <t>CC_CLASSIC</t>
        </is>
      </c>
      <c r="D6" t="n">
        <v>64</v>
      </c>
      <c r="E6" t="n">
        <v>492400</v>
      </c>
    </row>
    <row r="7">
      <c r="A7" s="5" t="n">
        <v>45565</v>
      </c>
      <c r="B7" t="inlineStr">
        <is>
          <t>PL</t>
        </is>
      </c>
      <c r="C7" t="inlineStr">
        <is>
          <t>CC_GOLD</t>
        </is>
      </c>
      <c r="D7" t="n">
        <v>14</v>
      </c>
      <c r="E7" t="n">
        <v>365300</v>
      </c>
    </row>
    <row r="8">
      <c r="A8" s="5" t="n">
        <v>45565</v>
      </c>
      <c r="B8" t="inlineStr">
        <is>
          <t>PL</t>
        </is>
      </c>
      <c r="C8" t="inlineStr">
        <is>
          <t>PL_PREM</t>
        </is>
      </c>
      <c r="D8" t="n">
        <v>21</v>
      </c>
      <c r="E8" t="n">
        <v>1138800</v>
      </c>
    </row>
    <row r="9">
      <c r="A9" s="5" t="n">
        <v>45565</v>
      </c>
      <c r="B9" t="inlineStr">
        <is>
          <t>PL</t>
        </is>
      </c>
      <c r="C9" t="inlineStr">
        <is>
          <t>PL_STD</t>
        </is>
      </c>
      <c r="D9" t="n">
        <v>67</v>
      </c>
      <c r="E9" t="n">
        <v>1331300</v>
      </c>
    </row>
    <row r="10">
      <c r="A10" s="5" t="n">
        <v>45565</v>
      </c>
      <c r="B10" t="inlineStr">
        <is>
          <t>RO</t>
        </is>
      </c>
      <c r="C10" t="inlineStr">
        <is>
          <t>CC_CLASSIC</t>
        </is>
      </c>
      <c r="D10" t="n">
        <v>37</v>
      </c>
      <c r="E10" t="n">
        <v>337600</v>
      </c>
    </row>
    <row r="11">
      <c r="A11" s="5" t="n">
        <v>45565</v>
      </c>
      <c r="B11" t="inlineStr">
        <is>
          <t>RO</t>
        </is>
      </c>
      <c r="C11" t="inlineStr">
        <is>
          <t>CC_GOLD</t>
        </is>
      </c>
      <c r="D11" t="n">
        <v>6</v>
      </c>
      <c r="E11" t="n">
        <v>217400</v>
      </c>
    </row>
    <row r="12">
      <c r="A12" s="5" t="n">
        <v>45565</v>
      </c>
      <c r="B12" t="inlineStr">
        <is>
          <t>RO</t>
        </is>
      </c>
      <c r="C12" t="inlineStr">
        <is>
          <t>PL_PREM</t>
        </is>
      </c>
      <c r="D12" t="n">
        <v>15</v>
      </c>
      <c r="E12" t="n">
        <v>1009100</v>
      </c>
    </row>
    <row r="13">
      <c r="A13" s="5" t="n">
        <v>45565</v>
      </c>
      <c r="B13" t="inlineStr">
        <is>
          <t>RO</t>
        </is>
      </c>
      <c r="C13" t="inlineStr">
        <is>
          <t>PL_STD</t>
        </is>
      </c>
      <c r="D13" t="n">
        <v>53</v>
      </c>
      <c r="E13" t="n">
        <v>1346400</v>
      </c>
    </row>
    <row r="14">
      <c r="A14" s="5" t="n">
        <v>45596</v>
      </c>
      <c r="B14" t="inlineStr">
        <is>
          <t>CZ</t>
        </is>
      </c>
      <c r="C14" t="inlineStr">
        <is>
          <t>CC_CLASSIC</t>
        </is>
      </c>
      <c r="D14" t="n">
        <v>55</v>
      </c>
      <c r="E14" t="n">
        <v>2213000</v>
      </c>
    </row>
    <row r="15">
      <c r="A15" s="5" t="n">
        <v>45596</v>
      </c>
      <c r="B15" t="inlineStr">
        <is>
          <t>CZ</t>
        </is>
      </c>
      <c r="C15" t="inlineStr">
        <is>
          <t>CC_GOLD</t>
        </is>
      </c>
      <c r="D15" t="n">
        <v>16</v>
      </c>
      <c r="E15" t="n">
        <v>2637000</v>
      </c>
    </row>
    <row r="16">
      <c r="A16" s="5" t="n">
        <v>45596</v>
      </c>
      <c r="B16" t="inlineStr">
        <is>
          <t>CZ</t>
        </is>
      </c>
      <c r="C16" t="inlineStr">
        <is>
          <t>PL_PREM</t>
        </is>
      </c>
      <c r="D16" t="n">
        <v>16</v>
      </c>
      <c r="E16" t="n">
        <v>5546000</v>
      </c>
    </row>
    <row r="17">
      <c r="A17" s="5" t="n">
        <v>45596</v>
      </c>
      <c r="B17" t="inlineStr">
        <is>
          <t>CZ</t>
        </is>
      </c>
      <c r="C17" t="inlineStr">
        <is>
          <t>PL_STD</t>
        </is>
      </c>
      <c r="D17" t="n">
        <v>50</v>
      </c>
      <c r="E17" t="n">
        <v>5880000</v>
      </c>
    </row>
    <row r="18">
      <c r="A18" s="5" t="n">
        <v>45596</v>
      </c>
      <c r="B18" t="inlineStr">
        <is>
          <t>PL</t>
        </is>
      </c>
      <c r="C18" t="inlineStr">
        <is>
          <t>CC_CLASSIC</t>
        </is>
      </c>
      <c r="D18" t="n">
        <v>54</v>
      </c>
      <c r="E18" t="n">
        <v>384900</v>
      </c>
    </row>
    <row r="19">
      <c r="A19" s="5" t="n">
        <v>45596</v>
      </c>
      <c r="B19" t="inlineStr">
        <is>
          <t>PL</t>
        </is>
      </c>
      <c r="C19" t="inlineStr">
        <is>
          <t>CC_GOLD</t>
        </is>
      </c>
      <c r="D19" t="n">
        <v>23</v>
      </c>
      <c r="E19" t="n">
        <v>586100</v>
      </c>
    </row>
    <row r="20">
      <c r="A20" s="5" t="n">
        <v>45596</v>
      </c>
      <c r="B20" t="inlineStr">
        <is>
          <t>PL</t>
        </is>
      </c>
      <c r="C20" t="inlineStr">
        <is>
          <t>PL_PREM</t>
        </is>
      </c>
      <c r="D20" t="n">
        <v>27</v>
      </c>
      <c r="E20" t="n">
        <v>1512500</v>
      </c>
    </row>
    <row r="21">
      <c r="A21" s="5" t="n">
        <v>45596</v>
      </c>
      <c r="B21" t="inlineStr">
        <is>
          <t>PL</t>
        </is>
      </c>
      <c r="C21" t="inlineStr">
        <is>
          <t>PL_STD</t>
        </is>
      </c>
      <c r="D21" t="n">
        <v>69</v>
      </c>
      <c r="E21" t="n">
        <v>1219400</v>
      </c>
    </row>
    <row r="22">
      <c r="A22" s="5" t="n">
        <v>45596</v>
      </c>
      <c r="B22" t="inlineStr">
        <is>
          <t>RO</t>
        </is>
      </c>
      <c r="C22" t="inlineStr">
        <is>
          <t>CC_CLASSIC</t>
        </is>
      </c>
      <c r="D22" t="n">
        <v>31</v>
      </c>
      <c r="E22" t="n">
        <v>299000</v>
      </c>
    </row>
    <row r="23">
      <c r="A23" s="5" t="n">
        <v>45596</v>
      </c>
      <c r="B23" t="inlineStr">
        <is>
          <t>RO</t>
        </is>
      </c>
      <c r="C23" t="inlineStr">
        <is>
          <t>CC_GOLD</t>
        </is>
      </c>
      <c r="D23" t="n">
        <v>11</v>
      </c>
      <c r="E23" t="n">
        <v>366700</v>
      </c>
    </row>
    <row r="24">
      <c r="A24" s="5" t="n">
        <v>45596</v>
      </c>
      <c r="B24" t="inlineStr">
        <is>
          <t>RO</t>
        </is>
      </c>
      <c r="C24" t="inlineStr">
        <is>
          <t>PL_PREM</t>
        </is>
      </c>
      <c r="D24" t="n">
        <v>18</v>
      </c>
      <c r="E24" t="n">
        <v>1265500</v>
      </c>
    </row>
    <row r="25">
      <c r="A25" s="5" t="n">
        <v>45596</v>
      </c>
      <c r="B25" t="inlineStr">
        <is>
          <t>RO</t>
        </is>
      </c>
      <c r="C25" t="inlineStr">
        <is>
          <t>PL_STD</t>
        </is>
      </c>
      <c r="D25" t="n">
        <v>41</v>
      </c>
      <c r="E25" t="n">
        <v>1019600</v>
      </c>
    </row>
    <row r="26">
      <c r="A26" s="5" t="n">
        <v>45626</v>
      </c>
      <c r="B26" t="inlineStr">
        <is>
          <t>CZ</t>
        </is>
      </c>
      <c r="C26" t="inlineStr">
        <is>
          <t>CC_CLASSIC</t>
        </is>
      </c>
      <c r="D26" t="n">
        <v>41</v>
      </c>
      <c r="E26" t="n">
        <v>1981000</v>
      </c>
    </row>
    <row r="27">
      <c r="A27" s="5" t="n">
        <v>45626</v>
      </c>
      <c r="B27" t="inlineStr">
        <is>
          <t>CZ</t>
        </is>
      </c>
      <c r="C27" t="inlineStr">
        <is>
          <t>CC_GOLD</t>
        </is>
      </c>
      <c r="D27" t="n">
        <v>12</v>
      </c>
      <c r="E27" t="n">
        <v>1493000</v>
      </c>
    </row>
    <row r="28">
      <c r="A28" s="5" t="n">
        <v>45626</v>
      </c>
      <c r="B28" t="inlineStr">
        <is>
          <t>CZ</t>
        </is>
      </c>
      <c r="C28" t="inlineStr">
        <is>
          <t>PL_PREM</t>
        </is>
      </c>
      <c r="D28" t="n">
        <v>18</v>
      </c>
      <c r="E28" t="n">
        <v>6242000</v>
      </c>
    </row>
    <row r="29">
      <c r="A29" s="5" t="n">
        <v>45626</v>
      </c>
      <c r="B29" t="inlineStr">
        <is>
          <t>CZ</t>
        </is>
      </c>
      <c r="C29" t="inlineStr">
        <is>
          <t>PL_STD</t>
        </is>
      </c>
      <c r="D29" t="n">
        <v>58</v>
      </c>
      <c r="E29" t="n">
        <v>7198000</v>
      </c>
    </row>
    <row r="30">
      <c r="A30" s="5" t="n">
        <v>45626</v>
      </c>
      <c r="B30" t="inlineStr">
        <is>
          <t>PL</t>
        </is>
      </c>
      <c r="C30" t="inlineStr">
        <is>
          <t>CC_CLASSIC</t>
        </is>
      </c>
      <c r="D30" t="n">
        <v>64</v>
      </c>
      <c r="E30" t="n">
        <v>501500</v>
      </c>
    </row>
    <row r="31">
      <c r="A31" s="5" t="n">
        <v>45626</v>
      </c>
      <c r="B31" t="inlineStr">
        <is>
          <t>PL</t>
        </is>
      </c>
      <c r="C31" t="inlineStr">
        <is>
          <t>CC_GOLD</t>
        </is>
      </c>
      <c r="D31" t="n">
        <v>20</v>
      </c>
      <c r="E31" t="n">
        <v>533900</v>
      </c>
    </row>
    <row r="32">
      <c r="A32" s="5" t="n">
        <v>45626</v>
      </c>
      <c r="B32" t="inlineStr">
        <is>
          <t>PL</t>
        </is>
      </c>
      <c r="C32" t="inlineStr">
        <is>
          <t>PL_PREM</t>
        </is>
      </c>
      <c r="D32" t="n">
        <v>23</v>
      </c>
      <c r="E32" t="n">
        <v>1404800</v>
      </c>
    </row>
    <row r="33">
      <c r="A33" s="5" t="n">
        <v>45626</v>
      </c>
      <c r="B33" t="inlineStr">
        <is>
          <t>PL</t>
        </is>
      </c>
      <c r="C33" t="inlineStr">
        <is>
          <t>PL_STD</t>
        </is>
      </c>
      <c r="D33" t="n">
        <v>69</v>
      </c>
      <c r="E33" t="n">
        <v>1251000</v>
      </c>
    </row>
    <row r="34">
      <c r="A34" s="5" t="n">
        <v>45626</v>
      </c>
      <c r="B34" t="inlineStr">
        <is>
          <t>RO</t>
        </is>
      </c>
      <c r="C34" t="inlineStr">
        <is>
          <t>CC_CLASSIC</t>
        </is>
      </c>
      <c r="D34" t="n">
        <v>40</v>
      </c>
      <c r="E34" t="n">
        <v>346800</v>
      </c>
    </row>
    <row r="35">
      <c r="A35" s="5" t="n">
        <v>45626</v>
      </c>
      <c r="B35" t="inlineStr">
        <is>
          <t>RO</t>
        </is>
      </c>
      <c r="C35" t="inlineStr">
        <is>
          <t>CC_GOLD</t>
        </is>
      </c>
      <c r="D35" t="n">
        <v>9</v>
      </c>
      <c r="E35" t="n">
        <v>291600</v>
      </c>
    </row>
    <row r="36">
      <c r="A36" s="5" t="n">
        <v>45626</v>
      </c>
      <c r="B36" t="inlineStr">
        <is>
          <t>RO</t>
        </is>
      </c>
      <c r="C36" t="inlineStr">
        <is>
          <t>PL_PREM</t>
        </is>
      </c>
      <c r="D36" t="n">
        <v>11</v>
      </c>
      <c r="E36" t="n">
        <v>755000</v>
      </c>
    </row>
    <row r="37">
      <c r="A37" s="5" t="n">
        <v>45626</v>
      </c>
      <c r="B37" t="inlineStr">
        <is>
          <t>RO</t>
        </is>
      </c>
      <c r="C37" t="inlineStr">
        <is>
          <t>PL_STD</t>
        </is>
      </c>
      <c r="D37" t="n">
        <v>44</v>
      </c>
      <c r="E37" t="n">
        <v>1106100</v>
      </c>
    </row>
    <row r="38">
      <c r="A38" s="5" t="n">
        <v>45657</v>
      </c>
      <c r="B38" t="inlineStr">
        <is>
          <t>CZ</t>
        </is>
      </c>
      <c r="C38" t="inlineStr">
        <is>
          <t>CC_CLASSIC</t>
        </is>
      </c>
      <c r="D38" t="n">
        <v>62</v>
      </c>
      <c r="E38" t="n">
        <v>2684000</v>
      </c>
    </row>
    <row r="39">
      <c r="A39" s="5" t="n">
        <v>45657</v>
      </c>
      <c r="B39" t="inlineStr">
        <is>
          <t>CZ</t>
        </is>
      </c>
      <c r="C39" t="inlineStr">
        <is>
          <t>CC_GOLD</t>
        </is>
      </c>
      <c r="D39" t="n">
        <v>7</v>
      </c>
      <c r="E39" t="n">
        <v>1074000</v>
      </c>
    </row>
    <row r="40">
      <c r="A40" s="5" t="n">
        <v>45657</v>
      </c>
      <c r="B40" t="inlineStr">
        <is>
          <t>CZ</t>
        </is>
      </c>
      <c r="C40" t="inlineStr">
        <is>
          <t>PL_PREM</t>
        </is>
      </c>
      <c r="D40" t="n">
        <v>18</v>
      </c>
      <c r="E40" t="n">
        <v>5301000</v>
      </c>
    </row>
    <row r="41">
      <c r="A41" s="5" t="n">
        <v>45657</v>
      </c>
      <c r="B41" t="inlineStr">
        <is>
          <t>CZ</t>
        </is>
      </c>
      <c r="C41" t="inlineStr">
        <is>
          <t>PL_STD</t>
        </is>
      </c>
      <c r="D41" t="n">
        <v>66</v>
      </c>
      <c r="E41" t="n">
        <v>7345000</v>
      </c>
    </row>
    <row r="42">
      <c r="A42" s="5" t="n">
        <v>45657</v>
      </c>
      <c r="B42" t="inlineStr">
        <is>
          <t>PL</t>
        </is>
      </c>
      <c r="C42" t="inlineStr">
        <is>
          <t>CC_CLASSIC</t>
        </is>
      </c>
      <c r="D42" t="n">
        <v>69</v>
      </c>
      <c r="E42" t="n">
        <v>516200</v>
      </c>
    </row>
    <row r="43">
      <c r="A43" s="5" t="n">
        <v>45657</v>
      </c>
      <c r="B43" t="inlineStr">
        <is>
          <t>PL</t>
        </is>
      </c>
      <c r="C43" t="inlineStr">
        <is>
          <t>CC_GOLD</t>
        </is>
      </c>
      <c r="D43" t="n">
        <v>28</v>
      </c>
      <c r="E43" t="n">
        <v>754000</v>
      </c>
    </row>
    <row r="44">
      <c r="A44" s="5" t="n">
        <v>45657</v>
      </c>
      <c r="B44" t="inlineStr">
        <is>
          <t>PL</t>
        </is>
      </c>
      <c r="C44" t="inlineStr">
        <is>
          <t>PL_PREM</t>
        </is>
      </c>
      <c r="D44" t="n">
        <v>33</v>
      </c>
      <c r="E44" t="n">
        <v>1803600</v>
      </c>
    </row>
    <row r="45">
      <c r="A45" s="5" t="n">
        <v>45657</v>
      </c>
      <c r="B45" t="inlineStr">
        <is>
          <t>PL</t>
        </is>
      </c>
      <c r="C45" t="inlineStr">
        <is>
          <t>PL_STD</t>
        </is>
      </c>
      <c r="D45" t="n">
        <v>76</v>
      </c>
      <c r="E45" t="n">
        <v>1526000</v>
      </c>
    </row>
    <row r="46">
      <c r="A46" s="5" t="n">
        <v>45657</v>
      </c>
      <c r="B46" t="inlineStr">
        <is>
          <t>RO</t>
        </is>
      </c>
      <c r="C46" t="inlineStr">
        <is>
          <t>CC_CLASSIC</t>
        </is>
      </c>
      <c r="D46" t="n">
        <v>49</v>
      </c>
      <c r="E46" t="n">
        <v>441400</v>
      </c>
    </row>
    <row r="47">
      <c r="A47" s="5" t="n">
        <v>45657</v>
      </c>
      <c r="B47" t="inlineStr">
        <is>
          <t>RO</t>
        </is>
      </c>
      <c r="C47" t="inlineStr">
        <is>
          <t>CC_GOLD</t>
        </is>
      </c>
      <c r="D47" t="n">
        <v>13</v>
      </c>
      <c r="E47" t="n">
        <v>452100</v>
      </c>
    </row>
    <row r="48">
      <c r="A48" s="5" t="n">
        <v>45657</v>
      </c>
      <c r="B48" t="inlineStr">
        <is>
          <t>RO</t>
        </is>
      </c>
      <c r="C48" t="inlineStr">
        <is>
          <t>PL_PREM</t>
        </is>
      </c>
      <c r="D48" t="n">
        <v>8</v>
      </c>
      <c r="E48" t="n">
        <v>565100</v>
      </c>
    </row>
    <row r="49">
      <c r="A49" s="5" t="n">
        <v>45657</v>
      </c>
      <c r="B49" t="inlineStr">
        <is>
          <t>RO</t>
        </is>
      </c>
      <c r="C49" t="inlineStr">
        <is>
          <t>PL_STD</t>
        </is>
      </c>
      <c r="D49" t="n">
        <v>59</v>
      </c>
      <c r="E49" t="n">
        <v>1437400</v>
      </c>
    </row>
    <row r="50">
      <c r="A50" s="5" t="n">
        <v>45688</v>
      </c>
      <c r="B50" t="inlineStr">
        <is>
          <t>CZ</t>
        </is>
      </c>
      <c r="C50" t="inlineStr">
        <is>
          <t>CC_CLASSIC</t>
        </is>
      </c>
      <c r="D50" t="n">
        <v>45</v>
      </c>
      <c r="E50" t="n">
        <v>1900000</v>
      </c>
    </row>
    <row r="51">
      <c r="A51" s="5" t="n">
        <v>45688</v>
      </c>
      <c r="B51" t="inlineStr">
        <is>
          <t>CZ</t>
        </is>
      </c>
      <c r="C51" t="inlineStr">
        <is>
          <t>CC_GOLD</t>
        </is>
      </c>
      <c r="D51" t="n">
        <v>12</v>
      </c>
      <c r="E51" t="n">
        <v>1817000</v>
      </c>
    </row>
    <row r="52">
      <c r="A52" s="5" t="n">
        <v>45688</v>
      </c>
      <c r="B52" t="inlineStr">
        <is>
          <t>CZ</t>
        </is>
      </c>
      <c r="C52" t="inlineStr">
        <is>
          <t>PL_PREM</t>
        </is>
      </c>
      <c r="D52" t="n">
        <v>13</v>
      </c>
      <c r="E52" t="n">
        <v>3703000</v>
      </c>
    </row>
    <row r="53">
      <c r="A53" s="5" t="n">
        <v>45688</v>
      </c>
      <c r="B53" t="inlineStr">
        <is>
          <t>CZ</t>
        </is>
      </c>
      <c r="C53" t="inlineStr">
        <is>
          <t>PL_STD</t>
        </is>
      </c>
      <c r="D53" t="n">
        <v>41</v>
      </c>
      <c r="E53" t="n">
        <v>5014000</v>
      </c>
    </row>
    <row r="54">
      <c r="A54" s="5" t="n">
        <v>45688</v>
      </c>
      <c r="B54" t="inlineStr">
        <is>
          <t>PL</t>
        </is>
      </c>
      <c r="C54" t="inlineStr">
        <is>
          <t>CC_CLASSIC</t>
        </is>
      </c>
      <c r="D54" t="n">
        <v>66</v>
      </c>
      <c r="E54" t="n">
        <v>495700</v>
      </c>
    </row>
    <row r="55">
      <c r="A55" s="5" t="n">
        <v>45688</v>
      </c>
      <c r="B55" t="inlineStr">
        <is>
          <t>PL</t>
        </is>
      </c>
      <c r="C55" t="inlineStr">
        <is>
          <t>CC_GOLD</t>
        </is>
      </c>
      <c r="D55" t="n">
        <v>19</v>
      </c>
      <c r="E55" t="n">
        <v>494200</v>
      </c>
    </row>
    <row r="56">
      <c r="A56" s="5" t="n">
        <v>45688</v>
      </c>
      <c r="B56" t="inlineStr">
        <is>
          <t>PL</t>
        </is>
      </c>
      <c r="C56" t="inlineStr">
        <is>
          <t>PL_PREM</t>
        </is>
      </c>
      <c r="D56" t="n">
        <v>20</v>
      </c>
      <c r="E56" t="n">
        <v>917000</v>
      </c>
    </row>
    <row r="57">
      <c r="A57" s="5" t="n">
        <v>45688</v>
      </c>
      <c r="B57" t="inlineStr">
        <is>
          <t>PL</t>
        </is>
      </c>
      <c r="C57" t="inlineStr">
        <is>
          <t>PL_STD</t>
        </is>
      </c>
      <c r="D57" t="n">
        <v>54</v>
      </c>
      <c r="E57" t="n">
        <v>1058500</v>
      </c>
    </row>
    <row r="58">
      <c r="A58" s="5" t="n">
        <v>45688</v>
      </c>
      <c r="B58" t="inlineStr">
        <is>
          <t>RO</t>
        </is>
      </c>
      <c r="C58" t="inlineStr">
        <is>
          <t>CC_CLASSIC</t>
        </is>
      </c>
      <c r="D58" t="n">
        <v>28</v>
      </c>
      <c r="E58" t="n">
        <v>273500</v>
      </c>
    </row>
    <row r="59">
      <c r="A59" s="5" t="n">
        <v>45688</v>
      </c>
      <c r="B59" t="inlineStr">
        <is>
          <t>RO</t>
        </is>
      </c>
      <c r="C59" t="inlineStr">
        <is>
          <t>CC_GOLD</t>
        </is>
      </c>
      <c r="D59" t="n">
        <v>7</v>
      </c>
      <c r="E59" t="n">
        <v>242000</v>
      </c>
    </row>
    <row r="60">
      <c r="A60" s="5" t="n">
        <v>45688</v>
      </c>
      <c r="B60" t="inlineStr">
        <is>
          <t>RO</t>
        </is>
      </c>
      <c r="C60" t="inlineStr">
        <is>
          <t>PL_PREM</t>
        </is>
      </c>
      <c r="D60" t="n">
        <v>7</v>
      </c>
      <c r="E60" t="n">
        <v>539400</v>
      </c>
    </row>
    <row r="61">
      <c r="A61" s="5" t="n">
        <v>45688</v>
      </c>
      <c r="B61" t="inlineStr">
        <is>
          <t>RO</t>
        </is>
      </c>
      <c r="C61" t="inlineStr">
        <is>
          <t>PL_STD</t>
        </is>
      </c>
      <c r="D61" t="n">
        <v>43</v>
      </c>
      <c r="E61" t="n">
        <v>1133300</v>
      </c>
    </row>
    <row r="62">
      <c r="A62" s="5" t="n">
        <v>45716</v>
      </c>
      <c r="B62" t="inlineStr">
        <is>
          <t>CZ</t>
        </is>
      </c>
      <c r="C62" t="inlineStr">
        <is>
          <t>CC_CLASSIC</t>
        </is>
      </c>
      <c r="D62" t="n">
        <v>41</v>
      </c>
      <c r="E62" t="n">
        <v>1913000</v>
      </c>
    </row>
    <row r="63">
      <c r="A63" s="5" t="n">
        <v>45716</v>
      </c>
      <c r="B63" t="inlineStr">
        <is>
          <t>CZ</t>
        </is>
      </c>
      <c r="C63" t="inlineStr">
        <is>
          <t>CC_GOLD</t>
        </is>
      </c>
      <c r="D63" t="n">
        <v>11</v>
      </c>
      <c r="E63" t="n">
        <v>1745000</v>
      </c>
    </row>
    <row r="64">
      <c r="A64" s="5" t="n">
        <v>45716</v>
      </c>
      <c r="B64" t="inlineStr">
        <is>
          <t>CZ</t>
        </is>
      </c>
      <c r="C64" t="inlineStr">
        <is>
          <t>PL_PREM</t>
        </is>
      </c>
      <c r="D64" t="n">
        <v>12</v>
      </c>
      <c r="E64" t="n">
        <v>3436000</v>
      </c>
    </row>
    <row r="65">
      <c r="A65" s="5" t="n">
        <v>45716</v>
      </c>
      <c r="B65" t="inlineStr">
        <is>
          <t>CZ</t>
        </is>
      </c>
      <c r="C65" t="inlineStr">
        <is>
          <t>PL_STD</t>
        </is>
      </c>
      <c r="D65" t="n">
        <v>34</v>
      </c>
      <c r="E65" t="n">
        <v>3391000</v>
      </c>
    </row>
    <row r="66">
      <c r="A66" s="5" t="n">
        <v>45716</v>
      </c>
      <c r="B66" t="inlineStr">
        <is>
          <t>PL</t>
        </is>
      </c>
      <c r="C66" t="inlineStr">
        <is>
          <t>CC_CLASSIC</t>
        </is>
      </c>
      <c r="D66" t="n">
        <v>53</v>
      </c>
      <c r="E66" t="n">
        <v>408700</v>
      </c>
    </row>
    <row r="67">
      <c r="A67" s="5" t="n">
        <v>45716</v>
      </c>
      <c r="B67" t="inlineStr">
        <is>
          <t>PL</t>
        </is>
      </c>
      <c r="C67" t="inlineStr">
        <is>
          <t>CC_GOLD</t>
        </is>
      </c>
      <c r="D67" t="n">
        <v>15</v>
      </c>
      <c r="E67" t="n">
        <v>408300</v>
      </c>
    </row>
    <row r="68">
      <c r="A68" s="5" t="n">
        <v>45716</v>
      </c>
      <c r="B68" t="inlineStr">
        <is>
          <t>PL</t>
        </is>
      </c>
      <c r="C68" t="inlineStr">
        <is>
          <t>PL_PREM</t>
        </is>
      </c>
      <c r="D68" t="n">
        <v>22</v>
      </c>
      <c r="E68" t="n">
        <v>1258800</v>
      </c>
    </row>
    <row r="69">
      <c r="A69" s="5" t="n">
        <v>45716</v>
      </c>
      <c r="B69" t="inlineStr">
        <is>
          <t>PL</t>
        </is>
      </c>
      <c r="C69" t="inlineStr">
        <is>
          <t>PL_STD</t>
        </is>
      </c>
      <c r="D69" t="n">
        <v>51</v>
      </c>
      <c r="E69" t="n">
        <v>914400</v>
      </c>
    </row>
    <row r="70">
      <c r="A70" s="5" t="n">
        <v>45716</v>
      </c>
      <c r="B70" t="inlineStr">
        <is>
          <t>RO</t>
        </is>
      </c>
      <c r="C70" t="inlineStr">
        <is>
          <t>CC_CLASSIC</t>
        </is>
      </c>
      <c r="D70" t="n">
        <v>31</v>
      </c>
      <c r="E70" t="n">
        <v>283600</v>
      </c>
    </row>
    <row r="71">
      <c r="A71" s="5" t="n">
        <v>45716</v>
      </c>
      <c r="B71" t="inlineStr">
        <is>
          <t>RO</t>
        </is>
      </c>
      <c r="C71" t="inlineStr">
        <is>
          <t>CC_GOLD</t>
        </is>
      </c>
      <c r="D71" t="n">
        <v>7</v>
      </c>
      <c r="E71" t="n">
        <v>209700</v>
      </c>
    </row>
    <row r="72">
      <c r="A72" s="5" t="n">
        <v>45716</v>
      </c>
      <c r="B72" t="inlineStr">
        <is>
          <t>RO</t>
        </is>
      </c>
      <c r="C72" t="inlineStr">
        <is>
          <t>PL_PREM</t>
        </is>
      </c>
      <c r="D72" t="n">
        <v>12</v>
      </c>
      <c r="E72" t="n">
        <v>698400</v>
      </c>
    </row>
    <row r="73">
      <c r="A73" s="5" t="n">
        <v>45716</v>
      </c>
      <c r="B73" t="inlineStr">
        <is>
          <t>RO</t>
        </is>
      </c>
      <c r="C73" t="inlineStr">
        <is>
          <t>PL_STD</t>
        </is>
      </c>
      <c r="D73" t="n">
        <v>29</v>
      </c>
      <c r="E73" t="n">
        <v>759800</v>
      </c>
    </row>
    <row r="74">
      <c r="A74" s="5" t="n">
        <v>45747</v>
      </c>
      <c r="B74" t="inlineStr">
        <is>
          <t>CZ</t>
        </is>
      </c>
      <c r="C74" t="inlineStr">
        <is>
          <t>CC_CLASSIC</t>
        </is>
      </c>
      <c r="D74" t="n">
        <v>43</v>
      </c>
      <c r="E74" t="n">
        <v>1833000</v>
      </c>
    </row>
    <row r="75">
      <c r="A75" s="5" t="n">
        <v>45747</v>
      </c>
      <c r="B75" t="inlineStr">
        <is>
          <t>CZ</t>
        </is>
      </c>
      <c r="C75" t="inlineStr">
        <is>
          <t>CC_CONSOL</t>
        </is>
      </c>
      <c r="D75" t="n">
        <v>9</v>
      </c>
      <c r="E75" t="n">
        <v>1296000</v>
      </c>
    </row>
    <row r="76">
      <c r="A76" s="5" t="n">
        <v>45747</v>
      </c>
      <c r="B76" t="inlineStr">
        <is>
          <t>CZ</t>
        </is>
      </c>
      <c r="C76" t="inlineStr">
        <is>
          <t>CC_GOLD</t>
        </is>
      </c>
      <c r="D76" t="n">
        <v>11</v>
      </c>
      <c r="E76" t="n">
        <v>1623000</v>
      </c>
    </row>
    <row r="77">
      <c r="A77" s="5" t="n">
        <v>45747</v>
      </c>
      <c r="B77" t="inlineStr">
        <is>
          <t>CZ</t>
        </is>
      </c>
      <c r="C77" t="inlineStr">
        <is>
          <t>PL_PREM</t>
        </is>
      </c>
      <c r="D77" t="n">
        <v>19</v>
      </c>
      <c r="E77" t="n">
        <v>6845000</v>
      </c>
    </row>
    <row r="78">
      <c r="A78" s="5" t="n">
        <v>45747</v>
      </c>
      <c r="B78" t="inlineStr">
        <is>
          <t>CZ</t>
        </is>
      </c>
      <c r="C78" t="inlineStr">
        <is>
          <t>PL_STD</t>
        </is>
      </c>
      <c r="D78" t="n">
        <v>44</v>
      </c>
      <c r="E78" t="n">
        <v>5168000</v>
      </c>
    </row>
    <row r="79">
      <c r="A79" s="5" t="n">
        <v>45747</v>
      </c>
      <c r="B79" t="inlineStr">
        <is>
          <t>PL</t>
        </is>
      </c>
      <c r="C79" t="inlineStr">
        <is>
          <t>CC_CLASSIC</t>
        </is>
      </c>
      <c r="D79" t="n">
        <v>61</v>
      </c>
      <c r="E79" t="n">
        <v>430400</v>
      </c>
    </row>
    <row r="80">
      <c r="A80" s="5" t="n">
        <v>45747</v>
      </c>
      <c r="B80" t="inlineStr">
        <is>
          <t>PL</t>
        </is>
      </c>
      <c r="C80" t="inlineStr">
        <is>
          <t>CC_CONSOL</t>
        </is>
      </c>
      <c r="D80" t="n">
        <v>13</v>
      </c>
      <c r="E80" t="n">
        <v>396800</v>
      </c>
    </row>
    <row r="81">
      <c r="A81" s="5" t="n">
        <v>45747</v>
      </c>
      <c r="B81" t="inlineStr">
        <is>
          <t>PL</t>
        </is>
      </c>
      <c r="C81" t="inlineStr">
        <is>
          <t>CC_GOLD</t>
        </is>
      </c>
      <c r="D81" t="n">
        <v>9</v>
      </c>
      <c r="E81" t="n">
        <v>217100</v>
      </c>
    </row>
    <row r="82">
      <c r="A82" s="5" t="n">
        <v>45747</v>
      </c>
      <c r="B82" t="inlineStr">
        <is>
          <t>PL</t>
        </is>
      </c>
      <c r="C82" t="inlineStr">
        <is>
          <t>PL_PREM</t>
        </is>
      </c>
      <c r="D82" t="n">
        <v>26</v>
      </c>
      <c r="E82" t="n">
        <v>1471300</v>
      </c>
    </row>
    <row r="83">
      <c r="A83" s="5" t="n">
        <v>45747</v>
      </c>
      <c r="B83" t="inlineStr">
        <is>
          <t>PL</t>
        </is>
      </c>
      <c r="C83" t="inlineStr">
        <is>
          <t>PL_STD</t>
        </is>
      </c>
      <c r="D83" t="n">
        <v>51</v>
      </c>
      <c r="E83" t="n">
        <v>1035200</v>
      </c>
    </row>
    <row r="84">
      <c r="A84" s="5" t="n">
        <v>45747</v>
      </c>
      <c r="B84" t="inlineStr">
        <is>
          <t>RO</t>
        </is>
      </c>
      <c r="C84" t="inlineStr">
        <is>
          <t>CC_CLASSIC</t>
        </is>
      </c>
      <c r="D84" t="n">
        <v>38</v>
      </c>
      <c r="E84" t="n">
        <v>333600</v>
      </c>
    </row>
    <row r="85">
      <c r="A85" s="5" t="n">
        <v>45747</v>
      </c>
      <c r="B85" t="inlineStr">
        <is>
          <t>RO</t>
        </is>
      </c>
      <c r="C85" t="inlineStr">
        <is>
          <t>CC_CONSOL</t>
        </is>
      </c>
      <c r="D85" t="n">
        <v>7</v>
      </c>
      <c r="E85" t="n">
        <v>279500</v>
      </c>
    </row>
    <row r="86">
      <c r="A86" s="5" t="n">
        <v>45747</v>
      </c>
      <c r="B86" t="inlineStr">
        <is>
          <t>RO</t>
        </is>
      </c>
      <c r="C86" t="inlineStr">
        <is>
          <t>CC_GOLD</t>
        </is>
      </c>
      <c r="D86" t="n">
        <v>11</v>
      </c>
      <c r="E86" t="n">
        <v>335100</v>
      </c>
    </row>
    <row r="87">
      <c r="A87" s="5" t="n">
        <v>45747</v>
      </c>
      <c r="B87" t="inlineStr">
        <is>
          <t>RO</t>
        </is>
      </c>
      <c r="C87" t="inlineStr">
        <is>
          <t>PL_PREM</t>
        </is>
      </c>
      <c r="D87" t="n">
        <v>12</v>
      </c>
      <c r="E87" t="n">
        <v>902500</v>
      </c>
    </row>
    <row r="88">
      <c r="A88" s="5" t="n">
        <v>45747</v>
      </c>
      <c r="B88" t="inlineStr">
        <is>
          <t>RO</t>
        </is>
      </c>
      <c r="C88" t="inlineStr">
        <is>
          <t>PL_STD</t>
        </is>
      </c>
      <c r="D88" t="n">
        <v>51</v>
      </c>
      <c r="E88" t="n">
        <v>1209800</v>
      </c>
    </row>
    <row r="89">
      <c r="A89" s="5" t="n">
        <v>45777</v>
      </c>
      <c r="B89" t="inlineStr">
        <is>
          <t>CZ</t>
        </is>
      </c>
      <c r="C89" t="inlineStr">
        <is>
          <t>CC_CLASSIC</t>
        </is>
      </c>
      <c r="D89" t="n">
        <v>46</v>
      </c>
      <c r="E89" t="n">
        <v>2025000</v>
      </c>
    </row>
    <row r="90">
      <c r="A90" s="5" t="n">
        <v>45777</v>
      </c>
      <c r="B90" t="inlineStr">
        <is>
          <t>CZ</t>
        </is>
      </c>
      <c r="C90" t="inlineStr">
        <is>
          <t>CC_CONSOL</t>
        </is>
      </c>
      <c r="D90" t="n">
        <v>7</v>
      </c>
      <c r="E90" t="n">
        <v>1381000</v>
      </c>
    </row>
    <row r="91">
      <c r="A91" s="5" t="n">
        <v>45777</v>
      </c>
      <c r="B91" t="inlineStr">
        <is>
          <t>CZ</t>
        </is>
      </c>
      <c r="C91" t="inlineStr">
        <is>
          <t>CC_GOLD</t>
        </is>
      </c>
      <c r="D91" t="n">
        <v>11</v>
      </c>
      <c r="E91" t="n">
        <v>1711000</v>
      </c>
    </row>
    <row r="92">
      <c r="A92" s="5" t="n">
        <v>45777</v>
      </c>
      <c r="B92" t="inlineStr">
        <is>
          <t>CZ</t>
        </is>
      </c>
      <c r="C92" t="inlineStr">
        <is>
          <t>PL_PREM</t>
        </is>
      </c>
      <c r="D92" t="n">
        <v>14</v>
      </c>
      <c r="E92" t="n">
        <v>4011000</v>
      </c>
    </row>
    <row r="93">
      <c r="A93" s="5" t="n">
        <v>45777</v>
      </c>
      <c r="B93" t="inlineStr">
        <is>
          <t>CZ</t>
        </is>
      </c>
      <c r="C93" t="inlineStr">
        <is>
          <t>PL_STD</t>
        </is>
      </c>
      <c r="D93" t="n">
        <v>53</v>
      </c>
      <c r="E93" t="n">
        <v>5703000</v>
      </c>
    </row>
    <row r="94">
      <c r="A94" s="5" t="n">
        <v>45777</v>
      </c>
      <c r="B94" t="inlineStr">
        <is>
          <t>PL</t>
        </is>
      </c>
      <c r="C94" t="inlineStr">
        <is>
          <t>CC_CLASSIC</t>
        </is>
      </c>
      <c r="D94" t="n">
        <v>58</v>
      </c>
      <c r="E94" t="n">
        <v>407900</v>
      </c>
    </row>
    <row r="95">
      <c r="A95" s="5" t="n">
        <v>45777</v>
      </c>
      <c r="B95" t="inlineStr">
        <is>
          <t>PL</t>
        </is>
      </c>
      <c r="C95" t="inlineStr">
        <is>
          <t>CC_CONSOL</t>
        </is>
      </c>
      <c r="D95" t="n">
        <v>9</v>
      </c>
      <c r="E95" t="n">
        <v>312900</v>
      </c>
    </row>
    <row r="96">
      <c r="A96" s="5" t="n">
        <v>45777</v>
      </c>
      <c r="B96" t="inlineStr">
        <is>
          <t>PL</t>
        </is>
      </c>
      <c r="C96" t="inlineStr">
        <is>
          <t>CC_GOLD</t>
        </is>
      </c>
      <c r="D96" t="n">
        <v>16</v>
      </c>
      <c r="E96" t="n">
        <v>381000</v>
      </c>
    </row>
    <row r="97">
      <c r="A97" s="5" t="n">
        <v>45777</v>
      </c>
      <c r="B97" t="inlineStr">
        <is>
          <t>PL</t>
        </is>
      </c>
      <c r="C97" t="inlineStr">
        <is>
          <t>PL_PREM</t>
        </is>
      </c>
      <c r="D97" t="n">
        <v>26</v>
      </c>
      <c r="E97" t="n">
        <v>1525600</v>
      </c>
    </row>
    <row r="98">
      <c r="A98" s="5" t="n">
        <v>45777</v>
      </c>
      <c r="B98" t="inlineStr">
        <is>
          <t>PL</t>
        </is>
      </c>
      <c r="C98" t="inlineStr">
        <is>
          <t>PL_STD</t>
        </is>
      </c>
      <c r="D98" t="n">
        <v>65</v>
      </c>
      <c r="E98" t="n">
        <v>1012600</v>
      </c>
    </row>
    <row r="99">
      <c r="A99" s="5" t="n">
        <v>45777</v>
      </c>
      <c r="B99" t="inlineStr">
        <is>
          <t>RO</t>
        </is>
      </c>
      <c r="C99" t="inlineStr">
        <is>
          <t>CC_CLASSIC</t>
        </is>
      </c>
      <c r="D99" t="n">
        <v>32</v>
      </c>
      <c r="E99" t="n">
        <v>289800</v>
      </c>
    </row>
    <row r="100">
      <c r="A100" s="5" t="n">
        <v>45777</v>
      </c>
      <c r="B100" t="inlineStr">
        <is>
          <t>RO</t>
        </is>
      </c>
      <c r="C100" t="inlineStr">
        <is>
          <t>CC_CONSOL</t>
        </is>
      </c>
      <c r="D100" t="n">
        <v>18</v>
      </c>
      <c r="E100" t="n">
        <v>791000</v>
      </c>
    </row>
    <row r="101">
      <c r="A101" s="5" t="n">
        <v>45777</v>
      </c>
      <c r="B101" t="inlineStr">
        <is>
          <t>RO</t>
        </is>
      </c>
      <c r="C101" t="inlineStr">
        <is>
          <t>CC_GOLD</t>
        </is>
      </c>
      <c r="D101" t="n">
        <v>9</v>
      </c>
      <c r="E101" t="n">
        <v>273500</v>
      </c>
    </row>
    <row r="102">
      <c r="A102" s="5" t="n">
        <v>45777</v>
      </c>
      <c r="B102" t="inlineStr">
        <is>
          <t>RO</t>
        </is>
      </c>
      <c r="C102" t="inlineStr">
        <is>
          <t>PL_PREM</t>
        </is>
      </c>
      <c r="D102" t="n">
        <v>13</v>
      </c>
      <c r="E102" t="n">
        <v>837200</v>
      </c>
    </row>
    <row r="103">
      <c r="A103" s="5" t="n">
        <v>45777</v>
      </c>
      <c r="B103" t="inlineStr">
        <is>
          <t>RO</t>
        </is>
      </c>
      <c r="C103" t="inlineStr">
        <is>
          <t>PL_STD</t>
        </is>
      </c>
      <c r="D103" t="n">
        <v>44</v>
      </c>
      <c r="E103" t="n">
        <v>933100</v>
      </c>
    </row>
    <row r="104">
      <c r="A104" s="5" t="n">
        <v>45808</v>
      </c>
      <c r="B104" t="inlineStr">
        <is>
          <t>CZ</t>
        </is>
      </c>
      <c r="C104" t="inlineStr">
        <is>
          <t>CC_CLASSIC</t>
        </is>
      </c>
      <c r="D104" t="n">
        <v>51</v>
      </c>
      <c r="E104" t="n">
        <v>2401000</v>
      </c>
    </row>
    <row r="105">
      <c r="A105" s="5" t="n">
        <v>45808</v>
      </c>
      <c r="B105" t="inlineStr">
        <is>
          <t>CZ</t>
        </is>
      </c>
      <c r="C105" t="inlineStr">
        <is>
          <t>CC_CONSOL</t>
        </is>
      </c>
      <c r="D105" t="n">
        <v>20</v>
      </c>
      <c r="E105" t="n">
        <v>3444000</v>
      </c>
    </row>
    <row r="106">
      <c r="A106" s="5" t="n">
        <v>45808</v>
      </c>
      <c r="B106" t="inlineStr">
        <is>
          <t>CZ</t>
        </is>
      </c>
      <c r="C106" t="inlineStr">
        <is>
          <t>CC_GOLD</t>
        </is>
      </c>
      <c r="D106" t="n">
        <v>9</v>
      </c>
      <c r="E106" t="n">
        <v>1249000</v>
      </c>
    </row>
    <row r="107">
      <c r="A107" s="5" t="n">
        <v>45808</v>
      </c>
      <c r="B107" t="inlineStr">
        <is>
          <t>CZ</t>
        </is>
      </c>
      <c r="C107" t="inlineStr">
        <is>
          <t>PL_PREM</t>
        </is>
      </c>
      <c r="D107" t="n">
        <v>14</v>
      </c>
      <c r="E107" t="n">
        <v>4331000</v>
      </c>
    </row>
    <row r="108">
      <c r="A108" s="5" t="n">
        <v>45808</v>
      </c>
      <c r="B108" t="inlineStr">
        <is>
          <t>CZ</t>
        </is>
      </c>
      <c r="C108" t="inlineStr">
        <is>
          <t>PL_STD</t>
        </is>
      </c>
      <c r="D108" t="n">
        <v>50</v>
      </c>
      <c r="E108" t="n">
        <v>5462000</v>
      </c>
    </row>
    <row r="109">
      <c r="A109" s="5" t="n">
        <v>45808</v>
      </c>
      <c r="B109" t="inlineStr">
        <is>
          <t>PL</t>
        </is>
      </c>
      <c r="C109" t="inlineStr">
        <is>
          <t>CC_CLASSIC</t>
        </is>
      </c>
      <c r="D109" t="n">
        <v>58</v>
      </c>
      <c r="E109" t="n">
        <v>437100</v>
      </c>
    </row>
    <row r="110">
      <c r="A110" s="5" t="n">
        <v>45808</v>
      </c>
      <c r="B110" t="inlineStr">
        <is>
          <t>PL</t>
        </is>
      </c>
      <c r="C110" t="inlineStr">
        <is>
          <t>CC_CONSOL</t>
        </is>
      </c>
      <c r="D110" t="n">
        <v>22</v>
      </c>
      <c r="E110" t="n">
        <v>574200</v>
      </c>
    </row>
    <row r="111">
      <c r="A111" s="5" t="n">
        <v>45808</v>
      </c>
      <c r="B111" t="inlineStr">
        <is>
          <t>PL</t>
        </is>
      </c>
      <c r="C111" t="inlineStr">
        <is>
          <t>CC_GOLD</t>
        </is>
      </c>
      <c r="D111" t="n">
        <v>13</v>
      </c>
      <c r="E111" t="n">
        <v>321100</v>
      </c>
    </row>
    <row r="112">
      <c r="A112" s="5" t="n">
        <v>45808</v>
      </c>
      <c r="B112" t="inlineStr">
        <is>
          <t>PL</t>
        </is>
      </c>
      <c r="C112" t="inlineStr">
        <is>
          <t>PL_PREM</t>
        </is>
      </c>
      <c r="D112" t="n">
        <v>26</v>
      </c>
      <c r="E112" t="n">
        <v>1533000</v>
      </c>
    </row>
    <row r="113">
      <c r="A113" s="5" t="n">
        <v>45808</v>
      </c>
      <c r="B113" t="inlineStr">
        <is>
          <t>PL</t>
        </is>
      </c>
      <c r="C113" t="inlineStr">
        <is>
          <t>PL_STD</t>
        </is>
      </c>
      <c r="D113" t="n">
        <v>66</v>
      </c>
      <c r="E113" t="n">
        <v>1252400</v>
      </c>
    </row>
    <row r="114">
      <c r="A114" s="5" t="n">
        <v>45808</v>
      </c>
      <c r="B114" t="inlineStr">
        <is>
          <t>RO</t>
        </is>
      </c>
      <c r="C114" t="inlineStr">
        <is>
          <t>CC_CLASSIC</t>
        </is>
      </c>
      <c r="D114" t="n">
        <v>31</v>
      </c>
      <c r="E114" t="n">
        <v>268600</v>
      </c>
    </row>
    <row r="115">
      <c r="A115" s="5" t="n">
        <v>45808</v>
      </c>
      <c r="B115" t="inlineStr">
        <is>
          <t>RO</t>
        </is>
      </c>
      <c r="C115" t="inlineStr">
        <is>
          <t>CC_CONSOL</t>
        </is>
      </c>
      <c r="D115" t="n">
        <v>5</v>
      </c>
      <c r="E115" t="n">
        <v>100100</v>
      </c>
    </row>
    <row r="116">
      <c r="A116" s="5" t="n">
        <v>45808</v>
      </c>
      <c r="B116" t="inlineStr">
        <is>
          <t>RO</t>
        </is>
      </c>
      <c r="C116" t="inlineStr">
        <is>
          <t>CC_GOLD</t>
        </is>
      </c>
      <c r="D116" t="n">
        <v>9</v>
      </c>
      <c r="E116" t="n">
        <v>287300</v>
      </c>
    </row>
    <row r="117">
      <c r="A117" s="5" t="n">
        <v>45808</v>
      </c>
      <c r="B117" t="inlineStr">
        <is>
          <t>RO</t>
        </is>
      </c>
      <c r="C117" t="inlineStr">
        <is>
          <t>PL_PREM</t>
        </is>
      </c>
      <c r="D117" t="n">
        <v>10</v>
      </c>
      <c r="E117" t="n">
        <v>618000</v>
      </c>
    </row>
    <row r="118">
      <c r="A118" s="5" t="n">
        <v>45808</v>
      </c>
      <c r="B118" t="inlineStr">
        <is>
          <t>RO</t>
        </is>
      </c>
      <c r="C118" t="inlineStr">
        <is>
          <t>PL_STD</t>
        </is>
      </c>
      <c r="D118" t="n">
        <v>37</v>
      </c>
      <c r="E118" t="n">
        <v>882600</v>
      </c>
    </row>
    <row r="119">
      <c r="A119" s="5" t="n">
        <v>45838</v>
      </c>
      <c r="B119" t="inlineStr">
        <is>
          <t>CZ</t>
        </is>
      </c>
      <c r="C119" t="inlineStr">
        <is>
          <t>CC_CLASSIC</t>
        </is>
      </c>
      <c r="D119" t="n">
        <v>42</v>
      </c>
      <c r="E119" t="n">
        <v>1736000</v>
      </c>
    </row>
    <row r="120">
      <c r="A120" s="5" t="n">
        <v>45838</v>
      </c>
      <c r="B120" t="inlineStr">
        <is>
          <t>CZ</t>
        </is>
      </c>
      <c r="C120" t="inlineStr">
        <is>
          <t>CC_CONSOL</t>
        </is>
      </c>
      <c r="D120" t="n">
        <v>11</v>
      </c>
      <c r="E120" t="n">
        <v>1894000</v>
      </c>
    </row>
    <row r="121">
      <c r="A121" s="5" t="n">
        <v>45838</v>
      </c>
      <c r="B121" t="inlineStr">
        <is>
          <t>CZ</t>
        </is>
      </c>
      <c r="C121" t="inlineStr">
        <is>
          <t>CC_GOLD</t>
        </is>
      </c>
      <c r="D121" t="n">
        <v>13</v>
      </c>
      <c r="E121" t="n">
        <v>1773000</v>
      </c>
    </row>
    <row r="122">
      <c r="A122" s="5" t="n">
        <v>45838</v>
      </c>
      <c r="B122" t="inlineStr">
        <is>
          <t>CZ</t>
        </is>
      </c>
      <c r="C122" t="inlineStr">
        <is>
          <t>PL_PREM</t>
        </is>
      </c>
      <c r="D122" t="n">
        <v>19</v>
      </c>
      <c r="E122" t="n">
        <v>5721000</v>
      </c>
    </row>
    <row r="123">
      <c r="A123" s="5" t="n">
        <v>45838</v>
      </c>
      <c r="B123" t="inlineStr">
        <is>
          <t>CZ</t>
        </is>
      </c>
      <c r="C123" t="inlineStr">
        <is>
          <t>PL_STD</t>
        </is>
      </c>
      <c r="D123" t="n">
        <v>56</v>
      </c>
      <c r="E123" t="n">
        <v>6422000</v>
      </c>
    </row>
    <row r="124">
      <c r="A124" s="5" t="n">
        <v>45838</v>
      </c>
      <c r="B124" t="inlineStr">
        <is>
          <t>PL</t>
        </is>
      </c>
      <c r="C124" t="inlineStr">
        <is>
          <t>CC_CLASSIC</t>
        </is>
      </c>
      <c r="D124" t="n">
        <v>65</v>
      </c>
      <c r="E124" t="n">
        <v>494900</v>
      </c>
    </row>
    <row r="125">
      <c r="A125" s="5" t="n">
        <v>45838</v>
      </c>
      <c r="B125" t="inlineStr">
        <is>
          <t>PL</t>
        </is>
      </c>
      <c r="C125" t="inlineStr">
        <is>
          <t>CC_CONSOL</t>
        </is>
      </c>
      <c r="D125" t="n">
        <v>17</v>
      </c>
      <c r="E125" t="n">
        <v>536200</v>
      </c>
    </row>
    <row r="126">
      <c r="A126" s="5" t="n">
        <v>45838</v>
      </c>
      <c r="B126" t="inlineStr">
        <is>
          <t>PL</t>
        </is>
      </c>
      <c r="C126" t="inlineStr">
        <is>
          <t>CC_GOLD</t>
        </is>
      </c>
      <c r="D126" t="n">
        <v>15</v>
      </c>
      <c r="E126" t="n">
        <v>359800</v>
      </c>
    </row>
    <row r="127">
      <c r="A127" s="5" t="n">
        <v>45838</v>
      </c>
      <c r="B127" t="inlineStr">
        <is>
          <t>PL</t>
        </is>
      </c>
      <c r="C127" t="inlineStr">
        <is>
          <t>PL_PREM</t>
        </is>
      </c>
      <c r="D127" t="n">
        <v>17</v>
      </c>
      <c r="E127" t="n">
        <v>957800</v>
      </c>
    </row>
    <row r="128">
      <c r="A128" s="5" t="n">
        <v>45838</v>
      </c>
      <c r="B128" t="inlineStr">
        <is>
          <t>PL</t>
        </is>
      </c>
      <c r="C128" t="inlineStr">
        <is>
          <t>PL_STD</t>
        </is>
      </c>
      <c r="D128" t="n">
        <v>62</v>
      </c>
      <c r="E128" t="n">
        <v>1109800</v>
      </c>
    </row>
    <row r="129">
      <c r="A129" s="5" t="n">
        <v>45838</v>
      </c>
      <c r="B129" t="inlineStr">
        <is>
          <t>RO</t>
        </is>
      </c>
      <c r="C129" t="inlineStr">
        <is>
          <t>CC_CLASSIC</t>
        </is>
      </c>
      <c r="D129" t="n">
        <v>41</v>
      </c>
      <c r="E129" t="n">
        <v>413200</v>
      </c>
    </row>
    <row r="130">
      <c r="A130" s="5" t="n">
        <v>45838</v>
      </c>
      <c r="B130" t="inlineStr">
        <is>
          <t>RO</t>
        </is>
      </c>
      <c r="C130" t="inlineStr">
        <is>
          <t>CC_CONSOL</t>
        </is>
      </c>
      <c r="D130" t="n">
        <v>10</v>
      </c>
      <c r="E130" t="n">
        <v>406400</v>
      </c>
    </row>
    <row r="131">
      <c r="A131" s="5" t="n">
        <v>45838</v>
      </c>
      <c r="B131" t="inlineStr">
        <is>
          <t>RO</t>
        </is>
      </c>
      <c r="C131" t="inlineStr">
        <is>
          <t>CC_GOLD</t>
        </is>
      </c>
      <c r="D131" t="n">
        <v>13</v>
      </c>
      <c r="E131" t="n">
        <v>379900</v>
      </c>
    </row>
    <row r="132">
      <c r="A132" s="5" t="n">
        <v>45838</v>
      </c>
      <c r="B132" t="inlineStr">
        <is>
          <t>RO</t>
        </is>
      </c>
      <c r="C132" t="inlineStr">
        <is>
          <t>PL_PREM</t>
        </is>
      </c>
      <c r="D132" t="n">
        <v>17</v>
      </c>
      <c r="E132" t="n">
        <v>1176100</v>
      </c>
    </row>
    <row r="133">
      <c r="A133" s="5" t="n">
        <v>45838</v>
      </c>
      <c r="B133" t="inlineStr">
        <is>
          <t>RO</t>
        </is>
      </c>
      <c r="C133" t="inlineStr">
        <is>
          <t>PL_STD</t>
        </is>
      </c>
      <c r="D133" t="n">
        <v>39</v>
      </c>
      <c r="E133" t="n">
        <v>1014100</v>
      </c>
    </row>
    <row r="134">
      <c r="A134" s="5" t="n">
        <v>45869</v>
      </c>
      <c r="B134" t="inlineStr">
        <is>
          <t>CZ</t>
        </is>
      </c>
      <c r="C134" t="inlineStr">
        <is>
          <t>CC_CLASSIC</t>
        </is>
      </c>
      <c r="D134" t="n">
        <v>32</v>
      </c>
      <c r="E134" t="n">
        <v>1612000</v>
      </c>
    </row>
    <row r="135">
      <c r="A135" s="5" t="n">
        <v>45869</v>
      </c>
      <c r="B135" t="inlineStr">
        <is>
          <t>CZ</t>
        </is>
      </c>
      <c r="C135" t="inlineStr">
        <is>
          <t>CC_CONSOL</t>
        </is>
      </c>
      <c r="D135" t="n">
        <v>16</v>
      </c>
      <c r="E135" t="n">
        <v>2735000</v>
      </c>
    </row>
    <row r="136">
      <c r="A136" s="5" t="n">
        <v>45869</v>
      </c>
      <c r="B136" t="inlineStr">
        <is>
          <t>CZ</t>
        </is>
      </c>
      <c r="C136" t="inlineStr">
        <is>
          <t>CC_GOLD</t>
        </is>
      </c>
      <c r="D136" t="n">
        <v>10</v>
      </c>
      <c r="E136" t="n">
        <v>1520000</v>
      </c>
    </row>
    <row r="137">
      <c r="A137" s="5" t="n">
        <v>45869</v>
      </c>
      <c r="B137" t="inlineStr">
        <is>
          <t>CZ</t>
        </is>
      </c>
      <c r="C137" t="inlineStr">
        <is>
          <t>PL_PREM</t>
        </is>
      </c>
      <c r="D137" t="n">
        <v>12</v>
      </c>
      <c r="E137" t="n">
        <v>4185000</v>
      </c>
    </row>
    <row r="138">
      <c r="A138" s="5" t="n">
        <v>45869</v>
      </c>
      <c r="B138" t="inlineStr">
        <is>
          <t>CZ</t>
        </is>
      </c>
      <c r="C138" t="inlineStr">
        <is>
          <t>PL_STD</t>
        </is>
      </c>
      <c r="D138" t="n">
        <v>54</v>
      </c>
      <c r="E138" t="n">
        <v>5641000</v>
      </c>
    </row>
    <row r="139">
      <c r="A139" s="5" t="n">
        <v>45869</v>
      </c>
      <c r="B139" t="inlineStr">
        <is>
          <t>PL</t>
        </is>
      </c>
      <c r="C139" t="inlineStr">
        <is>
          <t>CC_CLASSIC</t>
        </is>
      </c>
      <c r="D139" t="n">
        <v>54</v>
      </c>
      <c r="E139" t="n">
        <v>362200</v>
      </c>
    </row>
    <row r="140">
      <c r="A140" s="5" t="n">
        <v>45869</v>
      </c>
      <c r="B140" t="inlineStr">
        <is>
          <t>PL</t>
        </is>
      </c>
      <c r="C140" t="inlineStr">
        <is>
          <t>CC_CONSOL</t>
        </is>
      </c>
      <c r="D140" t="n">
        <v>21</v>
      </c>
      <c r="E140" t="n">
        <v>674300</v>
      </c>
    </row>
    <row r="141">
      <c r="A141" s="5" t="n">
        <v>45869</v>
      </c>
      <c r="B141" t="inlineStr">
        <is>
          <t>PL</t>
        </is>
      </c>
      <c r="C141" t="inlineStr">
        <is>
          <t>CC_GOLD</t>
        </is>
      </c>
      <c r="D141" t="n">
        <v>20</v>
      </c>
      <c r="E141" t="n">
        <v>546300</v>
      </c>
    </row>
    <row r="142">
      <c r="A142" s="5" t="n">
        <v>45869</v>
      </c>
      <c r="B142" t="inlineStr">
        <is>
          <t>PL</t>
        </is>
      </c>
      <c r="C142" t="inlineStr">
        <is>
          <t>PL_PREM</t>
        </is>
      </c>
      <c r="D142" t="n">
        <v>32</v>
      </c>
      <c r="E142" t="n">
        <v>1831800</v>
      </c>
    </row>
    <row r="143">
      <c r="A143" s="5" t="n">
        <v>45869</v>
      </c>
      <c r="B143" t="inlineStr">
        <is>
          <t>PL</t>
        </is>
      </c>
      <c r="C143" t="inlineStr">
        <is>
          <t>PL_STD</t>
        </is>
      </c>
      <c r="D143" t="n">
        <v>70</v>
      </c>
      <c r="E143" t="n">
        <v>1436700</v>
      </c>
    </row>
    <row r="144">
      <c r="A144" s="5" t="n">
        <v>45869</v>
      </c>
      <c r="B144" t="inlineStr">
        <is>
          <t>RO</t>
        </is>
      </c>
      <c r="C144" t="inlineStr">
        <is>
          <t>CC_CLASSIC</t>
        </is>
      </c>
      <c r="D144" t="n">
        <v>44</v>
      </c>
      <c r="E144" t="n">
        <v>356000</v>
      </c>
    </row>
    <row r="145">
      <c r="A145" s="5" t="n">
        <v>45869</v>
      </c>
      <c r="B145" t="inlineStr">
        <is>
          <t>RO</t>
        </is>
      </c>
      <c r="C145" t="inlineStr">
        <is>
          <t>CC_CONSOL</t>
        </is>
      </c>
      <c r="D145" t="n">
        <v>9</v>
      </c>
      <c r="E145" t="n">
        <v>386700</v>
      </c>
    </row>
    <row r="146">
      <c r="A146" s="5" t="n">
        <v>45869</v>
      </c>
      <c r="B146" t="inlineStr">
        <is>
          <t>RO</t>
        </is>
      </c>
      <c r="C146" t="inlineStr">
        <is>
          <t>CC_GOLD</t>
        </is>
      </c>
      <c r="D146" t="n">
        <v>10</v>
      </c>
      <c r="E146" t="n">
        <v>305500</v>
      </c>
    </row>
    <row r="147">
      <c r="A147" s="5" t="n">
        <v>45869</v>
      </c>
      <c r="B147" t="inlineStr">
        <is>
          <t>RO</t>
        </is>
      </c>
      <c r="C147" t="inlineStr">
        <is>
          <t>PL_PREM</t>
        </is>
      </c>
      <c r="D147" t="n">
        <v>10</v>
      </c>
      <c r="E147" t="n">
        <v>794300</v>
      </c>
    </row>
    <row r="148">
      <c r="A148" s="5" t="n">
        <v>45869</v>
      </c>
      <c r="B148" t="inlineStr">
        <is>
          <t>RO</t>
        </is>
      </c>
      <c r="C148" t="inlineStr">
        <is>
          <t>PL_STD</t>
        </is>
      </c>
      <c r="D148" t="n">
        <v>27</v>
      </c>
      <c r="E148" t="n">
        <v>656900</v>
      </c>
    </row>
    <row r="149">
      <c r="A149" s="5" t="n">
        <v>45900</v>
      </c>
      <c r="B149" t="inlineStr">
        <is>
          <t>CZ</t>
        </is>
      </c>
      <c r="C149" t="inlineStr">
        <is>
          <t>CC_CLASSIC</t>
        </is>
      </c>
      <c r="D149" t="n">
        <v>37</v>
      </c>
      <c r="E149" t="n">
        <v>1658000</v>
      </c>
    </row>
    <row r="150">
      <c r="A150" s="5" t="n">
        <v>45900</v>
      </c>
      <c r="B150" t="inlineStr">
        <is>
          <t>CZ</t>
        </is>
      </c>
      <c r="C150" t="inlineStr">
        <is>
          <t>CC_CONSOL</t>
        </is>
      </c>
      <c r="D150" t="n">
        <v>16</v>
      </c>
      <c r="E150" t="n">
        <v>2179000</v>
      </c>
    </row>
    <row r="151">
      <c r="A151" s="5" t="n">
        <v>45900</v>
      </c>
      <c r="B151" t="inlineStr">
        <is>
          <t>CZ</t>
        </is>
      </c>
      <c r="C151" t="inlineStr">
        <is>
          <t>CC_GOLD</t>
        </is>
      </c>
      <c r="D151" t="n">
        <v>9</v>
      </c>
      <c r="E151" t="n">
        <v>1303000</v>
      </c>
    </row>
    <row r="152">
      <c r="A152" s="5" t="n">
        <v>45900</v>
      </c>
      <c r="B152" t="inlineStr">
        <is>
          <t>CZ</t>
        </is>
      </c>
      <c r="C152" t="inlineStr">
        <is>
          <t>PL_PREM</t>
        </is>
      </c>
      <c r="D152" t="n">
        <v>20</v>
      </c>
      <c r="E152" t="n">
        <v>6294000</v>
      </c>
    </row>
    <row r="153">
      <c r="A153" s="5" t="n">
        <v>45900</v>
      </c>
      <c r="B153" t="inlineStr">
        <is>
          <t>CZ</t>
        </is>
      </c>
      <c r="C153" t="inlineStr">
        <is>
          <t>PL_STD</t>
        </is>
      </c>
      <c r="D153" t="n">
        <v>45</v>
      </c>
      <c r="E153" t="n">
        <v>4746000</v>
      </c>
    </row>
    <row r="154">
      <c r="A154" s="5" t="n">
        <v>45900</v>
      </c>
      <c r="B154" t="inlineStr">
        <is>
          <t>PL</t>
        </is>
      </c>
      <c r="C154" t="inlineStr">
        <is>
          <t>CC_CLASSIC</t>
        </is>
      </c>
      <c r="D154" t="n">
        <v>60</v>
      </c>
      <c r="E154" t="n">
        <v>442000</v>
      </c>
    </row>
    <row r="155">
      <c r="A155" s="5" t="n">
        <v>45900</v>
      </c>
      <c r="B155" t="inlineStr">
        <is>
          <t>PL</t>
        </is>
      </c>
      <c r="C155" t="inlineStr">
        <is>
          <t>CC_CONSOL</t>
        </is>
      </c>
      <c r="D155" t="n">
        <v>15</v>
      </c>
      <c r="E155" t="n">
        <v>449900</v>
      </c>
    </row>
    <row r="156">
      <c r="A156" s="5" t="n">
        <v>45900</v>
      </c>
      <c r="B156" t="inlineStr">
        <is>
          <t>PL</t>
        </is>
      </c>
      <c r="C156" t="inlineStr">
        <is>
          <t>CC_GOLD</t>
        </is>
      </c>
      <c r="D156" t="n">
        <v>22</v>
      </c>
      <c r="E156" t="n">
        <v>559900</v>
      </c>
    </row>
    <row r="157">
      <c r="A157" s="5" t="n">
        <v>45900</v>
      </c>
      <c r="B157" t="inlineStr">
        <is>
          <t>PL</t>
        </is>
      </c>
      <c r="C157" t="inlineStr">
        <is>
          <t>PL_PREM</t>
        </is>
      </c>
      <c r="D157" t="n">
        <v>17</v>
      </c>
      <c r="E157" t="n">
        <v>921600</v>
      </c>
    </row>
    <row r="158">
      <c r="A158" s="5" t="n">
        <v>45900</v>
      </c>
      <c r="B158" t="inlineStr">
        <is>
          <t>PL</t>
        </is>
      </c>
      <c r="C158" t="inlineStr">
        <is>
          <t>PL_STD</t>
        </is>
      </c>
      <c r="D158" t="n">
        <v>61</v>
      </c>
      <c r="E158" t="n">
        <v>1091500</v>
      </c>
    </row>
    <row r="159">
      <c r="A159" s="5" t="n">
        <v>45900</v>
      </c>
      <c r="B159" t="inlineStr">
        <is>
          <t>RO</t>
        </is>
      </c>
      <c r="C159" t="inlineStr">
        <is>
          <t>CC_CLASSIC</t>
        </is>
      </c>
      <c r="D159" t="n">
        <v>34</v>
      </c>
      <c r="E159" t="n">
        <v>286800</v>
      </c>
    </row>
    <row r="160">
      <c r="A160" s="5" t="n">
        <v>45900</v>
      </c>
      <c r="B160" t="inlineStr">
        <is>
          <t>RO</t>
        </is>
      </c>
      <c r="C160" t="inlineStr">
        <is>
          <t>CC_CONSOL</t>
        </is>
      </c>
      <c r="D160" t="n">
        <v>9</v>
      </c>
      <c r="E160" t="n">
        <v>276100</v>
      </c>
    </row>
    <row r="161">
      <c r="A161" s="5" t="n">
        <v>45900</v>
      </c>
      <c r="B161" t="inlineStr">
        <is>
          <t>RO</t>
        </is>
      </c>
      <c r="C161" t="inlineStr">
        <is>
          <t>CC_GOLD</t>
        </is>
      </c>
      <c r="D161" t="n">
        <v>13</v>
      </c>
      <c r="E161" t="n">
        <v>346000</v>
      </c>
    </row>
    <row r="162">
      <c r="A162" s="5" t="n">
        <v>45900</v>
      </c>
      <c r="B162" t="inlineStr">
        <is>
          <t>RO</t>
        </is>
      </c>
      <c r="C162" t="inlineStr">
        <is>
          <t>PL_PREM</t>
        </is>
      </c>
      <c r="D162" t="n">
        <v>11</v>
      </c>
      <c r="E162" t="n">
        <v>867900</v>
      </c>
    </row>
    <row r="163">
      <c r="A163" s="5" t="n">
        <v>45900</v>
      </c>
      <c r="B163" t="inlineStr">
        <is>
          <t>RO</t>
        </is>
      </c>
      <c r="C163" t="inlineStr">
        <is>
          <t>PL_STD</t>
        </is>
      </c>
      <c r="D163" t="n">
        <v>48</v>
      </c>
      <c r="E163" t="n">
        <v>986800</v>
      </c>
    </row>
    <row r="164">
      <c r="A164" s="5" t="n">
        <v>45930</v>
      </c>
      <c r="B164" t="inlineStr">
        <is>
          <t>CZ</t>
        </is>
      </c>
      <c r="C164" t="inlineStr">
        <is>
          <t>CC_CLASSIC</t>
        </is>
      </c>
      <c r="D164" t="n">
        <v>43</v>
      </c>
      <c r="E164" t="n">
        <v>1873000</v>
      </c>
    </row>
    <row r="165">
      <c r="A165" s="5" t="n">
        <v>45930</v>
      </c>
      <c r="B165" t="inlineStr">
        <is>
          <t>CZ</t>
        </is>
      </c>
      <c r="C165" t="inlineStr">
        <is>
          <t>CC_CONSOL</t>
        </is>
      </c>
      <c r="D165" t="n">
        <v>12</v>
      </c>
      <c r="E165" t="n">
        <v>2105000</v>
      </c>
    </row>
    <row r="166">
      <c r="A166" s="5" t="n">
        <v>45930</v>
      </c>
      <c r="B166" t="inlineStr">
        <is>
          <t>CZ</t>
        </is>
      </c>
      <c r="C166" t="inlineStr">
        <is>
          <t>CC_GOLD</t>
        </is>
      </c>
      <c r="D166" t="n">
        <v>8</v>
      </c>
      <c r="E166" t="n">
        <v>1251000</v>
      </c>
    </row>
    <row r="167">
      <c r="A167" s="5" t="n">
        <v>45930</v>
      </c>
      <c r="B167" t="inlineStr">
        <is>
          <t>CZ</t>
        </is>
      </c>
      <c r="C167" t="inlineStr">
        <is>
          <t>PL_PREM</t>
        </is>
      </c>
      <c r="D167" t="n">
        <v>17</v>
      </c>
      <c r="E167" t="n">
        <v>5545000</v>
      </c>
    </row>
    <row r="168">
      <c r="A168" s="5" t="n">
        <v>45930</v>
      </c>
      <c r="B168" t="inlineStr">
        <is>
          <t>CZ</t>
        </is>
      </c>
      <c r="C168" t="inlineStr">
        <is>
          <t>PL_STD</t>
        </is>
      </c>
      <c r="D168" t="n">
        <v>39</v>
      </c>
      <c r="E168" t="n">
        <v>4694000</v>
      </c>
    </row>
    <row r="169">
      <c r="A169" s="5" t="n">
        <v>45930</v>
      </c>
      <c r="B169" t="inlineStr">
        <is>
          <t>PL</t>
        </is>
      </c>
      <c r="C169" t="inlineStr">
        <is>
          <t>CC_CLASSIC</t>
        </is>
      </c>
      <c r="D169" t="n">
        <v>60</v>
      </c>
      <c r="E169" t="n">
        <v>453400</v>
      </c>
    </row>
    <row r="170">
      <c r="A170" s="5" t="n">
        <v>45930</v>
      </c>
      <c r="B170" t="inlineStr">
        <is>
          <t>PL</t>
        </is>
      </c>
      <c r="C170" t="inlineStr">
        <is>
          <t>CC_CONSOL</t>
        </is>
      </c>
      <c r="D170" t="n">
        <v>23</v>
      </c>
      <c r="E170" t="n">
        <v>664000</v>
      </c>
    </row>
    <row r="171">
      <c r="A171" s="5" t="n">
        <v>45930</v>
      </c>
      <c r="B171" t="inlineStr">
        <is>
          <t>PL</t>
        </is>
      </c>
      <c r="C171" t="inlineStr">
        <is>
          <t>CC_GOLD</t>
        </is>
      </c>
      <c r="D171" t="n">
        <v>18</v>
      </c>
      <c r="E171" t="n">
        <v>483700</v>
      </c>
    </row>
    <row r="172">
      <c r="A172" s="5" t="n">
        <v>45930</v>
      </c>
      <c r="B172" t="inlineStr">
        <is>
          <t>PL</t>
        </is>
      </c>
      <c r="C172" t="inlineStr">
        <is>
          <t>PL_PREM</t>
        </is>
      </c>
      <c r="D172" t="n">
        <v>29</v>
      </c>
      <c r="E172" t="n">
        <v>1766200</v>
      </c>
    </row>
    <row r="173">
      <c r="A173" s="5" t="n">
        <v>45930</v>
      </c>
      <c r="B173" t="inlineStr">
        <is>
          <t>PL</t>
        </is>
      </c>
      <c r="C173" t="inlineStr">
        <is>
          <t>PL_STD</t>
        </is>
      </c>
      <c r="D173" t="n">
        <v>69</v>
      </c>
      <c r="E173" t="n">
        <v>1402400</v>
      </c>
    </row>
    <row r="174">
      <c r="A174" s="5" t="n">
        <v>45930</v>
      </c>
      <c r="B174" t="inlineStr">
        <is>
          <t>RO</t>
        </is>
      </c>
      <c r="C174" t="inlineStr">
        <is>
          <t>CC_CLASSIC</t>
        </is>
      </c>
      <c r="D174" t="n">
        <v>35</v>
      </c>
      <c r="E174" t="n">
        <v>342300</v>
      </c>
    </row>
    <row r="175">
      <c r="A175" s="5" t="n">
        <v>45930</v>
      </c>
      <c r="B175" t="inlineStr">
        <is>
          <t>RO</t>
        </is>
      </c>
      <c r="C175" t="inlineStr">
        <is>
          <t>CC_CONSOL</t>
        </is>
      </c>
      <c r="D175" t="n">
        <v>8</v>
      </c>
      <c r="E175" t="n">
        <v>236100</v>
      </c>
    </row>
    <row r="176">
      <c r="A176" s="5" t="n">
        <v>45930</v>
      </c>
      <c r="B176" t="inlineStr">
        <is>
          <t>RO</t>
        </is>
      </c>
      <c r="C176" t="inlineStr">
        <is>
          <t>CC_GOLD</t>
        </is>
      </c>
      <c r="D176" t="n">
        <v>10</v>
      </c>
      <c r="E176" t="n">
        <v>332500</v>
      </c>
    </row>
    <row r="177">
      <c r="A177" s="5" t="n">
        <v>45930</v>
      </c>
      <c r="B177" t="inlineStr">
        <is>
          <t>RO</t>
        </is>
      </c>
      <c r="C177" t="inlineStr">
        <is>
          <t>PL_PREM</t>
        </is>
      </c>
      <c r="D177" t="n">
        <v>14</v>
      </c>
      <c r="E177" t="n">
        <v>950900</v>
      </c>
    </row>
    <row r="178">
      <c r="A178" s="5" t="n">
        <v>45930</v>
      </c>
      <c r="B178" t="inlineStr">
        <is>
          <t>RO</t>
        </is>
      </c>
      <c r="C178" t="inlineStr">
        <is>
          <t>PL_STD</t>
        </is>
      </c>
      <c r="D178" t="n">
        <v>42</v>
      </c>
      <c r="E178" t="n">
        <v>1116500</v>
      </c>
    </row>
    <row r="179">
      <c r="A179" s="5" t="n">
        <v>45961</v>
      </c>
      <c r="B179" t="inlineStr">
        <is>
          <t>CZ</t>
        </is>
      </c>
      <c r="C179" t="inlineStr">
        <is>
          <t>CC_CLASSIC</t>
        </is>
      </c>
      <c r="D179" t="n">
        <v>52</v>
      </c>
      <c r="E179" t="n">
        <v>2390000</v>
      </c>
    </row>
    <row r="180">
      <c r="A180" s="5" t="n">
        <v>45961</v>
      </c>
      <c r="B180" t="inlineStr">
        <is>
          <t>CZ</t>
        </is>
      </c>
      <c r="C180" t="inlineStr">
        <is>
          <t>CC_CONSOL</t>
        </is>
      </c>
      <c r="D180" t="n">
        <v>16</v>
      </c>
      <c r="E180" t="n">
        <v>2728000</v>
      </c>
    </row>
    <row r="181">
      <c r="A181" s="5" t="n">
        <v>45961</v>
      </c>
      <c r="B181" t="inlineStr">
        <is>
          <t>CZ</t>
        </is>
      </c>
      <c r="C181" t="inlineStr">
        <is>
          <t>CC_GOLD</t>
        </is>
      </c>
      <c r="D181" t="n">
        <v>12</v>
      </c>
      <c r="E181" t="n">
        <v>1690000</v>
      </c>
    </row>
    <row r="182">
      <c r="A182" s="5" t="n">
        <v>45961</v>
      </c>
      <c r="B182" t="inlineStr">
        <is>
          <t>CZ</t>
        </is>
      </c>
      <c r="C182" t="inlineStr">
        <is>
          <t>PL_PREM</t>
        </is>
      </c>
      <c r="D182" t="n">
        <v>20</v>
      </c>
      <c r="E182" t="n">
        <v>6047000</v>
      </c>
    </row>
    <row r="183">
      <c r="A183" s="5" t="n">
        <v>45961</v>
      </c>
      <c r="B183" t="inlineStr">
        <is>
          <t>CZ</t>
        </is>
      </c>
      <c r="C183" t="inlineStr">
        <is>
          <t>PL_STD</t>
        </is>
      </c>
      <c r="D183" t="n">
        <v>55</v>
      </c>
      <c r="E183" t="n">
        <v>6108000</v>
      </c>
    </row>
    <row r="184">
      <c r="A184" s="5" t="n">
        <v>45961</v>
      </c>
      <c r="B184" t="inlineStr">
        <is>
          <t>PL</t>
        </is>
      </c>
      <c r="C184" t="inlineStr">
        <is>
          <t>CC_CLASSIC</t>
        </is>
      </c>
      <c r="D184" t="n">
        <v>57</v>
      </c>
      <c r="E184" t="n">
        <v>407300</v>
      </c>
    </row>
    <row r="185">
      <c r="A185" s="5" t="n">
        <v>45961</v>
      </c>
      <c r="B185" t="inlineStr">
        <is>
          <t>PL</t>
        </is>
      </c>
      <c r="C185" t="inlineStr">
        <is>
          <t>CC_CONSOL</t>
        </is>
      </c>
      <c r="D185" t="n">
        <v>16</v>
      </c>
      <c r="E185" t="n">
        <v>506000</v>
      </c>
    </row>
    <row r="186">
      <c r="A186" s="5" t="n">
        <v>45961</v>
      </c>
      <c r="B186" t="inlineStr">
        <is>
          <t>PL</t>
        </is>
      </c>
      <c r="C186" t="inlineStr">
        <is>
          <t>CC_GOLD</t>
        </is>
      </c>
      <c r="D186" t="n">
        <v>16</v>
      </c>
      <c r="E186" t="n">
        <v>467900</v>
      </c>
    </row>
    <row r="187">
      <c r="A187" s="5" t="n">
        <v>45961</v>
      </c>
      <c r="B187" t="inlineStr">
        <is>
          <t>PL</t>
        </is>
      </c>
      <c r="C187" t="inlineStr">
        <is>
          <t>PL_PREM</t>
        </is>
      </c>
      <c r="D187" t="n">
        <v>19</v>
      </c>
      <c r="E187" t="n">
        <v>999900</v>
      </c>
    </row>
    <row r="188">
      <c r="A188" s="5" t="n">
        <v>45961</v>
      </c>
      <c r="B188" t="inlineStr">
        <is>
          <t>PL</t>
        </is>
      </c>
      <c r="C188" t="inlineStr">
        <is>
          <t>PL_STD</t>
        </is>
      </c>
      <c r="D188" t="n">
        <v>67</v>
      </c>
      <c r="E188" t="n">
        <v>1272400</v>
      </c>
    </row>
    <row r="189">
      <c r="A189" s="5" t="n">
        <v>45961</v>
      </c>
      <c r="B189" t="inlineStr">
        <is>
          <t>RO</t>
        </is>
      </c>
      <c r="C189" t="inlineStr">
        <is>
          <t>CC_CLASSIC</t>
        </is>
      </c>
      <c r="D189" t="n">
        <v>37</v>
      </c>
      <c r="E189" t="n">
        <v>356200</v>
      </c>
    </row>
    <row r="190">
      <c r="A190" s="5" t="n">
        <v>45961</v>
      </c>
      <c r="B190" t="inlineStr">
        <is>
          <t>RO</t>
        </is>
      </c>
      <c r="C190" t="inlineStr">
        <is>
          <t>CC_CONSOL</t>
        </is>
      </c>
      <c r="D190" t="n">
        <v>14</v>
      </c>
      <c r="E190" t="n">
        <v>497800</v>
      </c>
    </row>
    <row r="191">
      <c r="A191" s="5" t="n">
        <v>45961</v>
      </c>
      <c r="B191" t="inlineStr">
        <is>
          <t>RO</t>
        </is>
      </c>
      <c r="C191" t="inlineStr">
        <is>
          <t>CC_GOLD</t>
        </is>
      </c>
      <c r="D191" t="n">
        <v>11</v>
      </c>
      <c r="E191" t="n">
        <v>391000</v>
      </c>
    </row>
    <row r="192">
      <c r="A192" s="5" t="n">
        <v>45961</v>
      </c>
      <c r="B192" t="inlineStr">
        <is>
          <t>RO</t>
        </is>
      </c>
      <c r="C192" t="inlineStr">
        <is>
          <t>PL_PREM</t>
        </is>
      </c>
      <c r="D192" t="n">
        <v>14</v>
      </c>
      <c r="E192" t="n">
        <v>870300</v>
      </c>
    </row>
    <row r="193">
      <c r="A193" s="5" t="n">
        <v>45961</v>
      </c>
      <c r="B193" t="inlineStr">
        <is>
          <t>RO</t>
        </is>
      </c>
      <c r="C193" t="inlineStr">
        <is>
          <t>PL_STD</t>
        </is>
      </c>
      <c r="D193" t="n">
        <v>49</v>
      </c>
      <c r="E193" t="n">
        <v>1149300</v>
      </c>
    </row>
    <row r="194">
      <c r="A194" s="5" t="n">
        <v>45991</v>
      </c>
      <c r="B194" t="inlineStr">
        <is>
          <t>CZ</t>
        </is>
      </c>
      <c r="C194" t="inlineStr">
        <is>
          <t>CC_CLASSIC</t>
        </is>
      </c>
      <c r="D194" t="n">
        <v>44</v>
      </c>
      <c r="E194" t="n">
        <v>1770000</v>
      </c>
    </row>
    <row r="195">
      <c r="A195" s="5" t="n">
        <v>45991</v>
      </c>
      <c r="B195" t="inlineStr">
        <is>
          <t>CZ</t>
        </is>
      </c>
      <c r="C195" t="inlineStr">
        <is>
          <t>CC_CONSOL</t>
        </is>
      </c>
      <c r="D195" t="n">
        <v>10</v>
      </c>
      <c r="E195" t="n">
        <v>1518000</v>
      </c>
    </row>
    <row r="196">
      <c r="A196" s="5" t="n">
        <v>45991</v>
      </c>
      <c r="B196" t="inlineStr">
        <is>
          <t>CZ</t>
        </is>
      </c>
      <c r="C196" t="inlineStr">
        <is>
          <t>CC_GOLD</t>
        </is>
      </c>
      <c r="D196" t="n">
        <v>19</v>
      </c>
      <c r="E196" t="n">
        <v>3216000</v>
      </c>
    </row>
    <row r="197">
      <c r="A197" s="5" t="n">
        <v>45991</v>
      </c>
      <c r="B197" t="inlineStr">
        <is>
          <t>CZ</t>
        </is>
      </c>
      <c r="C197" t="inlineStr">
        <is>
          <t>PL_PREM</t>
        </is>
      </c>
      <c r="D197" t="n">
        <v>18</v>
      </c>
      <c r="E197" t="n">
        <v>5345000</v>
      </c>
    </row>
    <row r="198">
      <c r="A198" s="5" t="n">
        <v>45991</v>
      </c>
      <c r="B198" t="inlineStr">
        <is>
          <t>CZ</t>
        </is>
      </c>
      <c r="C198" t="inlineStr">
        <is>
          <t>PL_STD</t>
        </is>
      </c>
      <c r="D198" t="n">
        <v>36</v>
      </c>
      <c r="E198" t="n">
        <v>4079000</v>
      </c>
    </row>
    <row r="199">
      <c r="A199" s="5" t="n">
        <v>45991</v>
      </c>
      <c r="B199" t="inlineStr">
        <is>
          <t>PL</t>
        </is>
      </c>
      <c r="C199" t="inlineStr">
        <is>
          <t>CC_CLASSIC</t>
        </is>
      </c>
      <c r="D199" t="n">
        <v>73</v>
      </c>
      <c r="E199" t="n">
        <v>547000</v>
      </c>
    </row>
    <row r="200">
      <c r="A200" s="5" t="n">
        <v>45991</v>
      </c>
      <c r="B200" t="inlineStr">
        <is>
          <t>PL</t>
        </is>
      </c>
      <c r="C200" t="inlineStr">
        <is>
          <t>CC_CONSOL</t>
        </is>
      </c>
      <c r="D200" t="n">
        <v>14</v>
      </c>
      <c r="E200" t="n">
        <v>434800</v>
      </c>
    </row>
    <row r="201">
      <c r="A201" s="5" t="n">
        <v>45991</v>
      </c>
      <c r="B201" t="inlineStr">
        <is>
          <t>PL</t>
        </is>
      </c>
      <c r="C201" t="inlineStr">
        <is>
          <t>CC_GOLD</t>
        </is>
      </c>
      <c r="D201" t="n">
        <v>11</v>
      </c>
      <c r="E201" t="n">
        <v>304100</v>
      </c>
    </row>
    <row r="202">
      <c r="A202" s="5" t="n">
        <v>45991</v>
      </c>
      <c r="B202" t="inlineStr">
        <is>
          <t>PL</t>
        </is>
      </c>
      <c r="C202" t="inlineStr">
        <is>
          <t>PL_PREM</t>
        </is>
      </c>
      <c r="D202" t="n">
        <v>26</v>
      </c>
      <c r="E202" t="n">
        <v>1526200</v>
      </c>
    </row>
    <row r="203">
      <c r="A203" s="5" t="n">
        <v>45991</v>
      </c>
      <c r="B203" t="inlineStr">
        <is>
          <t>PL</t>
        </is>
      </c>
      <c r="C203" t="inlineStr">
        <is>
          <t>PL_STD</t>
        </is>
      </c>
      <c r="D203" t="n">
        <v>57</v>
      </c>
      <c r="E203" t="n">
        <v>1039200</v>
      </c>
    </row>
    <row r="204">
      <c r="A204" s="5" t="n">
        <v>45991</v>
      </c>
      <c r="B204" t="inlineStr">
        <is>
          <t>RO</t>
        </is>
      </c>
      <c r="C204" t="inlineStr">
        <is>
          <t>CC_CLASSIC</t>
        </is>
      </c>
      <c r="D204" t="n">
        <v>41</v>
      </c>
      <c r="E204" t="n">
        <v>407500</v>
      </c>
    </row>
    <row r="205">
      <c r="A205" s="5" t="n">
        <v>45991</v>
      </c>
      <c r="B205" t="inlineStr">
        <is>
          <t>RO</t>
        </is>
      </c>
      <c r="C205" t="inlineStr">
        <is>
          <t>CC_CONSOL</t>
        </is>
      </c>
      <c r="D205" t="n">
        <v>5</v>
      </c>
      <c r="E205" t="n">
        <v>165100</v>
      </c>
    </row>
    <row r="206">
      <c r="A206" s="5" t="n">
        <v>45991</v>
      </c>
      <c r="B206" t="inlineStr">
        <is>
          <t>RO</t>
        </is>
      </c>
      <c r="C206" t="inlineStr">
        <is>
          <t>CC_GOLD</t>
        </is>
      </c>
      <c r="D206" t="n">
        <v>14</v>
      </c>
      <c r="E206" t="n">
        <v>363300</v>
      </c>
    </row>
    <row r="207">
      <c r="A207" s="5" t="n">
        <v>45991</v>
      </c>
      <c r="B207" t="inlineStr">
        <is>
          <t>RO</t>
        </is>
      </c>
      <c r="C207" t="inlineStr">
        <is>
          <t>PL_PREM</t>
        </is>
      </c>
      <c r="D207" t="n">
        <v>16</v>
      </c>
      <c r="E207" t="n">
        <v>1080500</v>
      </c>
    </row>
    <row r="208">
      <c r="A208" s="5" t="n">
        <v>45991</v>
      </c>
      <c r="B208" t="inlineStr">
        <is>
          <t>RO</t>
        </is>
      </c>
      <c r="C208" t="inlineStr">
        <is>
          <t>PL_STD</t>
        </is>
      </c>
      <c r="D208" t="n">
        <v>48</v>
      </c>
      <c r="E208" t="n">
        <v>1193600</v>
      </c>
    </row>
    <row r="209">
      <c r="A209" s="5" t="n">
        <v>46022</v>
      </c>
      <c r="B209" t="inlineStr">
        <is>
          <t>CZ</t>
        </is>
      </c>
      <c r="C209" t="inlineStr">
        <is>
          <t>CC_CLASSIC</t>
        </is>
      </c>
      <c r="D209" t="n">
        <v>73</v>
      </c>
      <c r="E209" t="n">
        <v>3106000</v>
      </c>
    </row>
    <row r="210">
      <c r="A210" s="5" t="n">
        <v>46022</v>
      </c>
      <c r="B210" t="inlineStr">
        <is>
          <t>CZ</t>
        </is>
      </c>
      <c r="C210" t="inlineStr">
        <is>
          <t>CC_CONSOL</t>
        </is>
      </c>
      <c r="D210" t="n">
        <v>15</v>
      </c>
      <c r="E210" t="n">
        <v>2429000</v>
      </c>
    </row>
    <row r="211">
      <c r="A211" s="5" t="n">
        <v>46022</v>
      </c>
      <c r="B211" t="inlineStr">
        <is>
          <t>CZ</t>
        </is>
      </c>
      <c r="C211" t="inlineStr">
        <is>
          <t>CC_GOLD</t>
        </is>
      </c>
      <c r="D211" t="n">
        <v>19</v>
      </c>
      <c r="E211" t="n">
        <v>3136000</v>
      </c>
    </row>
    <row r="212">
      <c r="A212" s="5" t="n">
        <v>46022</v>
      </c>
      <c r="B212" t="inlineStr">
        <is>
          <t>CZ</t>
        </is>
      </c>
      <c r="C212" t="inlineStr">
        <is>
          <t>PL_PREM</t>
        </is>
      </c>
      <c r="D212" t="n">
        <v>20</v>
      </c>
      <c r="E212" t="n">
        <v>6214000</v>
      </c>
    </row>
    <row r="213">
      <c r="A213" s="5" t="n">
        <v>46022</v>
      </c>
      <c r="B213" t="inlineStr">
        <is>
          <t>CZ</t>
        </is>
      </c>
      <c r="C213" t="inlineStr">
        <is>
          <t>PL_STD</t>
        </is>
      </c>
      <c r="D213" t="n">
        <v>67</v>
      </c>
      <c r="E213" t="n">
        <v>6823000</v>
      </c>
    </row>
    <row r="214">
      <c r="A214" s="5" t="n">
        <v>46022</v>
      </c>
      <c r="B214" t="inlineStr">
        <is>
          <t>PL</t>
        </is>
      </c>
      <c r="C214" t="inlineStr">
        <is>
          <t>CC_CLASSIC</t>
        </is>
      </c>
      <c r="D214" t="n">
        <v>57</v>
      </c>
      <c r="E214" t="n">
        <v>479300</v>
      </c>
    </row>
    <row r="215">
      <c r="A215" s="5" t="n">
        <v>46022</v>
      </c>
      <c r="B215" t="inlineStr">
        <is>
          <t>PL</t>
        </is>
      </c>
      <c r="C215" t="inlineStr">
        <is>
          <t>CC_CONSOL</t>
        </is>
      </c>
      <c r="D215" t="n">
        <v>25</v>
      </c>
      <c r="E215" t="n">
        <v>873400</v>
      </c>
    </row>
    <row r="216">
      <c r="A216" s="5" t="n">
        <v>46022</v>
      </c>
      <c r="B216" t="inlineStr">
        <is>
          <t>PL</t>
        </is>
      </c>
      <c r="C216" t="inlineStr">
        <is>
          <t>CC_GOLD</t>
        </is>
      </c>
      <c r="D216" t="n">
        <v>17</v>
      </c>
      <c r="E216" t="n">
        <v>476300</v>
      </c>
    </row>
    <row r="217">
      <c r="A217" s="5" t="n">
        <v>46022</v>
      </c>
      <c r="B217" t="inlineStr">
        <is>
          <t>PL</t>
        </is>
      </c>
      <c r="C217" t="inlineStr">
        <is>
          <t>PL_PREM</t>
        </is>
      </c>
      <c r="D217" t="n">
        <v>32</v>
      </c>
      <c r="E217" t="n">
        <v>1750500</v>
      </c>
    </row>
    <row r="218">
      <c r="A218" s="5" t="n">
        <v>46022</v>
      </c>
      <c r="B218" t="inlineStr">
        <is>
          <t>PL</t>
        </is>
      </c>
      <c r="C218" t="inlineStr">
        <is>
          <t>PL_STD</t>
        </is>
      </c>
      <c r="D218" t="n">
        <v>79</v>
      </c>
      <c r="E218" t="n">
        <v>1545600</v>
      </c>
    </row>
    <row r="219">
      <c r="A219" s="5" t="n">
        <v>46022</v>
      </c>
      <c r="B219" t="inlineStr">
        <is>
          <t>RO</t>
        </is>
      </c>
      <c r="C219" t="inlineStr">
        <is>
          <t>CC_CLASSIC</t>
        </is>
      </c>
      <c r="D219" t="n">
        <v>46</v>
      </c>
      <c r="E219" t="n">
        <v>437500</v>
      </c>
    </row>
    <row r="220">
      <c r="A220" s="5" t="n">
        <v>46022</v>
      </c>
      <c r="B220" t="inlineStr">
        <is>
          <t>RO</t>
        </is>
      </c>
      <c r="C220" t="inlineStr">
        <is>
          <t>CC_CONSOL</t>
        </is>
      </c>
      <c r="D220" t="n">
        <v>12</v>
      </c>
      <c r="E220" t="n">
        <v>486500</v>
      </c>
    </row>
    <row r="221">
      <c r="A221" s="5" t="n">
        <v>46022</v>
      </c>
      <c r="B221" t="inlineStr">
        <is>
          <t>RO</t>
        </is>
      </c>
      <c r="C221" t="inlineStr">
        <is>
          <t>CC_GOLD</t>
        </is>
      </c>
      <c r="D221" t="n">
        <v>15</v>
      </c>
      <c r="E221" t="n">
        <v>471900</v>
      </c>
    </row>
    <row r="222">
      <c r="A222" s="5" t="n">
        <v>46022</v>
      </c>
      <c r="B222" t="inlineStr">
        <is>
          <t>RO</t>
        </is>
      </c>
      <c r="C222" t="inlineStr">
        <is>
          <t>PL_PREM</t>
        </is>
      </c>
      <c r="D222" t="n">
        <v>14</v>
      </c>
      <c r="E222" t="n">
        <v>1100000</v>
      </c>
    </row>
    <row r="223">
      <c r="A223" s="5" t="n">
        <v>46022</v>
      </c>
      <c r="B223" t="inlineStr">
        <is>
          <t>RO</t>
        </is>
      </c>
      <c r="C223" t="inlineStr">
        <is>
          <t>PL_STD</t>
        </is>
      </c>
      <c r="D223" t="n">
        <v>55</v>
      </c>
      <c r="E223" t="n">
        <v>1357200</v>
      </c>
    </row>
    <row r="224">
      <c r="A224" s="5" t="n">
        <v>46053</v>
      </c>
      <c r="B224" t="inlineStr">
        <is>
          <t>CZ</t>
        </is>
      </c>
      <c r="C224" t="inlineStr">
        <is>
          <t>CC_CLASSIC</t>
        </is>
      </c>
      <c r="D224" t="n">
        <v>36</v>
      </c>
      <c r="E224" t="n">
        <v>1605000</v>
      </c>
    </row>
    <row r="225">
      <c r="A225" s="5" t="n">
        <v>46053</v>
      </c>
      <c r="B225" t="inlineStr">
        <is>
          <t>CZ</t>
        </is>
      </c>
      <c r="C225" t="inlineStr">
        <is>
          <t>CC_CONSOL</t>
        </is>
      </c>
      <c r="D225" t="n">
        <v>6</v>
      </c>
      <c r="E225" t="n">
        <v>835000</v>
      </c>
    </row>
    <row r="226">
      <c r="A226" s="5" t="n">
        <v>46053</v>
      </c>
      <c r="B226" t="inlineStr">
        <is>
          <t>CZ</t>
        </is>
      </c>
      <c r="C226" t="inlineStr">
        <is>
          <t>CC_GOLD</t>
        </is>
      </c>
      <c r="D226" t="n">
        <v>10</v>
      </c>
      <c r="E226" t="n">
        <v>1580000</v>
      </c>
    </row>
    <row r="227">
      <c r="A227" s="5" t="n">
        <v>46053</v>
      </c>
      <c r="B227" t="inlineStr">
        <is>
          <t>CZ</t>
        </is>
      </c>
      <c r="C227" t="inlineStr">
        <is>
          <t>PL_PREM</t>
        </is>
      </c>
      <c r="D227" t="n">
        <v>17</v>
      </c>
      <c r="E227" t="n">
        <v>5252000</v>
      </c>
    </row>
    <row r="228">
      <c r="A228" s="5" t="n">
        <v>46053</v>
      </c>
      <c r="B228" t="inlineStr">
        <is>
          <t>CZ</t>
        </is>
      </c>
      <c r="C228" t="inlineStr">
        <is>
          <t>PL_STD</t>
        </is>
      </c>
      <c r="D228" t="n">
        <v>44</v>
      </c>
      <c r="E228" t="n">
        <v>5026000</v>
      </c>
    </row>
    <row r="229">
      <c r="A229" s="5" t="n">
        <v>46053</v>
      </c>
      <c r="B229" t="inlineStr">
        <is>
          <t>PL</t>
        </is>
      </c>
      <c r="C229" t="inlineStr">
        <is>
          <t>CC_CLASSIC</t>
        </is>
      </c>
      <c r="D229" t="n">
        <v>62</v>
      </c>
      <c r="E229" t="n">
        <v>496000</v>
      </c>
    </row>
    <row r="230">
      <c r="A230" s="5" t="n">
        <v>46053</v>
      </c>
      <c r="B230" t="inlineStr">
        <is>
          <t>PL</t>
        </is>
      </c>
      <c r="C230" t="inlineStr">
        <is>
          <t>CC_CONSOL</t>
        </is>
      </c>
      <c r="D230" t="n">
        <v>12</v>
      </c>
      <c r="E230" t="n">
        <v>348600</v>
      </c>
    </row>
    <row r="231">
      <c r="A231" s="5" t="n">
        <v>46053</v>
      </c>
      <c r="B231" t="inlineStr">
        <is>
          <t>PL</t>
        </is>
      </c>
      <c r="C231" t="inlineStr">
        <is>
          <t>CC_GOLD</t>
        </is>
      </c>
      <c r="D231" t="n">
        <v>15</v>
      </c>
      <c r="E231" t="n">
        <v>428500</v>
      </c>
    </row>
    <row r="232">
      <c r="A232" s="5" t="n">
        <v>46053</v>
      </c>
      <c r="B232" t="inlineStr">
        <is>
          <t>PL</t>
        </is>
      </c>
      <c r="C232" t="inlineStr">
        <is>
          <t>PL_PREM</t>
        </is>
      </c>
      <c r="D232" t="n">
        <v>22</v>
      </c>
      <c r="E232" t="n">
        <v>1225700</v>
      </c>
    </row>
    <row r="233">
      <c r="A233" s="5" t="n">
        <v>46053</v>
      </c>
      <c r="B233" t="inlineStr">
        <is>
          <t>PL</t>
        </is>
      </c>
      <c r="C233" t="inlineStr">
        <is>
          <t>PL_STD</t>
        </is>
      </c>
      <c r="D233" t="n">
        <v>61</v>
      </c>
      <c r="E233" t="n">
        <v>1186300</v>
      </c>
    </row>
    <row r="234">
      <c r="A234" s="5" t="n">
        <v>46053</v>
      </c>
      <c r="B234" t="inlineStr">
        <is>
          <t>RO</t>
        </is>
      </c>
      <c r="C234" t="inlineStr">
        <is>
          <t>CC_CLASSIC</t>
        </is>
      </c>
      <c r="D234" t="n">
        <v>43</v>
      </c>
      <c r="E234" t="n">
        <v>357100</v>
      </c>
    </row>
    <row r="235">
      <c r="A235" s="5" t="n">
        <v>46053</v>
      </c>
      <c r="B235" t="inlineStr">
        <is>
          <t>RO</t>
        </is>
      </c>
      <c r="C235" t="inlineStr">
        <is>
          <t>CC_CONSOL</t>
        </is>
      </c>
      <c r="D235" t="n">
        <v>8</v>
      </c>
      <c r="E235" t="n">
        <v>231500</v>
      </c>
    </row>
    <row r="236">
      <c r="A236" s="5" t="n">
        <v>46053</v>
      </c>
      <c r="B236" t="inlineStr">
        <is>
          <t>RO</t>
        </is>
      </c>
      <c r="C236" t="inlineStr">
        <is>
          <t>CC_GOLD</t>
        </is>
      </c>
      <c r="D236" t="n">
        <v>17</v>
      </c>
      <c r="E236" t="n">
        <v>530200</v>
      </c>
    </row>
    <row r="237">
      <c r="A237" s="5" t="n">
        <v>46053</v>
      </c>
      <c r="B237" t="inlineStr">
        <is>
          <t>RO</t>
        </is>
      </c>
      <c r="C237" t="inlineStr">
        <is>
          <t>PL_PREM</t>
        </is>
      </c>
      <c r="D237" t="n">
        <v>17</v>
      </c>
      <c r="E237" t="n">
        <v>1103800</v>
      </c>
    </row>
    <row r="238">
      <c r="A238" s="5" t="n">
        <v>46053</v>
      </c>
      <c r="B238" t="inlineStr">
        <is>
          <t>RO</t>
        </is>
      </c>
      <c r="C238" t="inlineStr">
        <is>
          <t>PL_STD</t>
        </is>
      </c>
      <c r="D238" t="n">
        <v>42</v>
      </c>
      <c r="E238" t="n">
        <v>1037000</v>
      </c>
    </row>
    <row r="239">
      <c r="A239" s="5" t="n">
        <v>46081</v>
      </c>
      <c r="B239" t="inlineStr">
        <is>
          <t>CZ</t>
        </is>
      </c>
      <c r="C239" t="inlineStr">
        <is>
          <t>CC_CLASSIC</t>
        </is>
      </c>
      <c r="D239" t="n">
        <v>44</v>
      </c>
      <c r="E239" t="n">
        <v>1819000</v>
      </c>
    </row>
    <row r="240">
      <c r="A240" s="5" t="n">
        <v>46081</v>
      </c>
      <c r="B240" t="inlineStr">
        <is>
          <t>CZ</t>
        </is>
      </c>
      <c r="C240" t="inlineStr">
        <is>
          <t>CC_CONSOL</t>
        </is>
      </c>
      <c r="D240" t="n">
        <v>16</v>
      </c>
      <c r="E240" t="n">
        <v>2663000</v>
      </c>
    </row>
    <row r="241">
      <c r="A241" s="5" t="n">
        <v>46081</v>
      </c>
      <c r="B241" t="inlineStr">
        <is>
          <t>CZ</t>
        </is>
      </c>
      <c r="C241" t="inlineStr">
        <is>
          <t>CC_GOLD</t>
        </is>
      </c>
      <c r="D241" t="n">
        <v>6</v>
      </c>
      <c r="E241" t="n">
        <v>1074000</v>
      </c>
    </row>
    <row r="242">
      <c r="A242" s="5" t="n">
        <v>46081</v>
      </c>
      <c r="B242" t="inlineStr">
        <is>
          <t>CZ</t>
        </is>
      </c>
      <c r="C242" t="inlineStr">
        <is>
          <t>PL_PREM</t>
        </is>
      </c>
      <c r="D242" t="n">
        <v>11</v>
      </c>
      <c r="E242" t="n">
        <v>3310000</v>
      </c>
    </row>
    <row r="243">
      <c r="A243" s="5" t="n">
        <v>46081</v>
      </c>
      <c r="B243" t="inlineStr">
        <is>
          <t>CZ</t>
        </is>
      </c>
      <c r="C243" t="inlineStr">
        <is>
          <t>PL_STD</t>
        </is>
      </c>
      <c r="D243" t="n">
        <v>39</v>
      </c>
      <c r="E243" t="n">
        <v>3935000</v>
      </c>
    </row>
    <row r="244">
      <c r="A244" s="5" t="n">
        <v>46081</v>
      </c>
      <c r="B244" t="inlineStr">
        <is>
          <t>PL</t>
        </is>
      </c>
      <c r="C244" t="inlineStr">
        <is>
          <t>CC_CLASSIC</t>
        </is>
      </c>
      <c r="D244" t="n">
        <v>62</v>
      </c>
      <c r="E244" t="n">
        <v>461800</v>
      </c>
    </row>
    <row r="245">
      <c r="A245" s="5" t="n">
        <v>46081</v>
      </c>
      <c r="B245" t="inlineStr">
        <is>
          <t>PL</t>
        </is>
      </c>
      <c r="C245" t="inlineStr">
        <is>
          <t>CC_CONSOL</t>
        </is>
      </c>
      <c r="D245" t="n">
        <v>11</v>
      </c>
      <c r="E245" t="n">
        <v>319800</v>
      </c>
    </row>
    <row r="246">
      <c r="A246" s="5" t="n">
        <v>46081</v>
      </c>
      <c r="B246" t="inlineStr">
        <is>
          <t>PL</t>
        </is>
      </c>
      <c r="C246" t="inlineStr">
        <is>
          <t>CC_GOLD</t>
        </is>
      </c>
      <c r="D246" t="n">
        <v>13</v>
      </c>
      <c r="E246" t="n">
        <v>370600</v>
      </c>
    </row>
    <row r="247">
      <c r="A247" s="5" t="n">
        <v>46081</v>
      </c>
      <c r="B247" t="inlineStr">
        <is>
          <t>PL</t>
        </is>
      </c>
      <c r="C247" t="inlineStr">
        <is>
          <t>PL_PREM</t>
        </is>
      </c>
      <c r="D247" t="n">
        <v>21</v>
      </c>
      <c r="E247" t="n">
        <v>1005500</v>
      </c>
    </row>
    <row r="248">
      <c r="A248" s="5" t="n">
        <v>46081</v>
      </c>
      <c r="B248" t="inlineStr">
        <is>
          <t>PL</t>
        </is>
      </c>
      <c r="C248" t="inlineStr">
        <is>
          <t>PL_STD</t>
        </is>
      </c>
      <c r="D248" t="n">
        <v>53</v>
      </c>
      <c r="E248" t="n">
        <v>980800</v>
      </c>
    </row>
    <row r="249">
      <c r="A249" s="5" t="n">
        <v>46081</v>
      </c>
      <c r="B249" t="inlineStr">
        <is>
          <t>RO</t>
        </is>
      </c>
      <c r="C249" t="inlineStr">
        <is>
          <t>CC_CLASSIC</t>
        </is>
      </c>
      <c r="D249" t="n">
        <v>39</v>
      </c>
      <c r="E249" t="n">
        <v>379800</v>
      </c>
    </row>
    <row r="250">
      <c r="A250" s="5" t="n">
        <v>46081</v>
      </c>
      <c r="B250" t="inlineStr">
        <is>
          <t>RO</t>
        </is>
      </c>
      <c r="C250" t="inlineStr">
        <is>
          <t>CC_CONSOL</t>
        </is>
      </c>
      <c r="D250" t="n">
        <v>15</v>
      </c>
      <c r="E250" t="n">
        <v>497800</v>
      </c>
    </row>
    <row r="251">
      <c r="A251" s="5" t="n">
        <v>46081</v>
      </c>
      <c r="B251" t="inlineStr">
        <is>
          <t>RO</t>
        </is>
      </c>
      <c r="C251" t="inlineStr">
        <is>
          <t>CC_GOLD</t>
        </is>
      </c>
      <c r="D251" t="n">
        <v>16</v>
      </c>
      <c r="E251" t="n">
        <v>529800</v>
      </c>
    </row>
    <row r="252">
      <c r="A252" s="5" t="n">
        <v>46081</v>
      </c>
      <c r="B252" t="inlineStr">
        <is>
          <t>RO</t>
        </is>
      </c>
      <c r="C252" t="inlineStr">
        <is>
          <t>PL_PREM</t>
        </is>
      </c>
      <c r="D252" t="n">
        <v>11</v>
      </c>
      <c r="E252" t="n">
        <v>720300</v>
      </c>
    </row>
    <row r="253">
      <c r="A253" s="5" t="n">
        <v>46081</v>
      </c>
      <c r="B253" t="inlineStr">
        <is>
          <t>RO</t>
        </is>
      </c>
      <c r="C253" t="inlineStr">
        <is>
          <t>PL_STD</t>
        </is>
      </c>
      <c r="D253" t="n">
        <v>31</v>
      </c>
      <c r="E253" t="n">
        <v>734000</v>
      </c>
    </row>
    <row r="254">
      <c r="A254" s="5" t="n">
        <v>46112</v>
      </c>
      <c r="B254" t="inlineStr">
        <is>
          <t>CZ</t>
        </is>
      </c>
      <c r="C254" t="inlineStr">
        <is>
          <t>CC_CLASSIC</t>
        </is>
      </c>
      <c r="D254" t="n">
        <v>42</v>
      </c>
      <c r="E254" t="n">
        <v>2009000</v>
      </c>
    </row>
    <row r="255">
      <c r="A255" s="5" t="n">
        <v>46112</v>
      </c>
      <c r="B255" t="inlineStr">
        <is>
          <t>CZ</t>
        </is>
      </c>
      <c r="C255" t="inlineStr">
        <is>
          <t>CC_CONSOL</t>
        </is>
      </c>
      <c r="D255" t="n">
        <v>8</v>
      </c>
      <c r="E255" t="n">
        <v>1336000</v>
      </c>
    </row>
    <row r="256">
      <c r="A256" s="5" t="n">
        <v>46112</v>
      </c>
      <c r="B256" t="inlineStr">
        <is>
          <t>CZ</t>
        </is>
      </c>
      <c r="C256" t="inlineStr">
        <is>
          <t>CC_GOLD</t>
        </is>
      </c>
      <c r="D256" t="n">
        <v>15</v>
      </c>
      <c r="E256" t="n">
        <v>2360000</v>
      </c>
    </row>
    <row r="257">
      <c r="A257" s="5" t="n">
        <v>46112</v>
      </c>
      <c r="B257" t="inlineStr">
        <is>
          <t>CZ</t>
        </is>
      </c>
      <c r="C257" t="inlineStr">
        <is>
          <t>PL_PREM</t>
        </is>
      </c>
      <c r="D257" t="n">
        <v>11</v>
      </c>
      <c r="E257" t="n">
        <v>3610000</v>
      </c>
    </row>
    <row r="258">
      <c r="A258" s="5" t="n">
        <v>46112</v>
      </c>
      <c r="B258" t="inlineStr">
        <is>
          <t>CZ</t>
        </is>
      </c>
      <c r="C258" t="inlineStr">
        <is>
          <t>PL_STD</t>
        </is>
      </c>
      <c r="D258" t="n">
        <v>48</v>
      </c>
      <c r="E258" t="n">
        <v>5534000</v>
      </c>
    </row>
    <row r="259">
      <c r="A259" s="5" t="n">
        <v>46112</v>
      </c>
      <c r="B259" t="inlineStr">
        <is>
          <t>PL</t>
        </is>
      </c>
      <c r="C259" t="inlineStr">
        <is>
          <t>CC_CLASSIC</t>
        </is>
      </c>
      <c r="D259" t="n">
        <v>64</v>
      </c>
      <c r="E259" t="n">
        <v>500200</v>
      </c>
    </row>
    <row r="260">
      <c r="A260" s="5" t="n">
        <v>46112</v>
      </c>
      <c r="B260" t="inlineStr">
        <is>
          <t>PL</t>
        </is>
      </c>
      <c r="C260" t="inlineStr">
        <is>
          <t>CC_CONSOL</t>
        </is>
      </c>
      <c r="D260" t="n">
        <v>25</v>
      </c>
      <c r="E260" t="n">
        <v>811300</v>
      </c>
    </row>
    <row r="261">
      <c r="A261" s="5" t="n">
        <v>46112</v>
      </c>
      <c r="B261" t="inlineStr">
        <is>
          <t>PL</t>
        </is>
      </c>
      <c r="C261" t="inlineStr">
        <is>
          <t>CC_GOLD</t>
        </is>
      </c>
      <c r="D261" t="n">
        <v>23</v>
      </c>
      <c r="E261" t="n">
        <v>626400</v>
      </c>
    </row>
    <row r="262">
      <c r="A262" s="5" t="n">
        <v>46112</v>
      </c>
      <c r="B262" t="inlineStr">
        <is>
          <t>PL</t>
        </is>
      </c>
      <c r="C262" t="inlineStr">
        <is>
          <t>PL_PREM</t>
        </is>
      </c>
      <c r="D262" t="n">
        <v>20</v>
      </c>
      <c r="E262" t="n">
        <v>1149700</v>
      </c>
    </row>
    <row r="263">
      <c r="A263" s="5" t="n">
        <v>46112</v>
      </c>
      <c r="B263" t="inlineStr">
        <is>
          <t>PL</t>
        </is>
      </c>
      <c r="C263" t="inlineStr">
        <is>
          <t>PL_STD</t>
        </is>
      </c>
      <c r="D263" t="n">
        <v>59</v>
      </c>
      <c r="E263" t="n">
        <v>1113800</v>
      </c>
    </row>
    <row r="264">
      <c r="A264" s="5" t="n">
        <v>46112</v>
      </c>
      <c r="B264" t="inlineStr">
        <is>
          <t>RO</t>
        </is>
      </c>
      <c r="C264" t="inlineStr">
        <is>
          <t>CC_CLASSIC</t>
        </is>
      </c>
      <c r="D264" t="n">
        <v>37</v>
      </c>
      <c r="E264" t="n">
        <v>336800</v>
      </c>
    </row>
    <row r="265">
      <c r="A265" s="5" t="n">
        <v>46112</v>
      </c>
      <c r="B265" t="inlineStr">
        <is>
          <t>RO</t>
        </is>
      </c>
      <c r="C265" t="inlineStr">
        <is>
          <t>CC_CONSOL</t>
        </is>
      </c>
      <c r="D265" t="n">
        <v>8</v>
      </c>
      <c r="E265" t="n">
        <v>286400</v>
      </c>
    </row>
    <row r="266">
      <c r="A266" s="5" t="n">
        <v>46112</v>
      </c>
      <c r="B266" t="inlineStr">
        <is>
          <t>RO</t>
        </is>
      </c>
      <c r="C266" t="inlineStr">
        <is>
          <t>CC_GOLD</t>
        </is>
      </c>
      <c r="D266" t="n">
        <v>16</v>
      </c>
      <c r="E266" t="n">
        <v>507400</v>
      </c>
    </row>
    <row r="267">
      <c r="A267" s="5" t="n">
        <v>46112</v>
      </c>
      <c r="B267" t="inlineStr">
        <is>
          <t>RO</t>
        </is>
      </c>
      <c r="C267" t="inlineStr">
        <is>
          <t>PL_PREM</t>
        </is>
      </c>
      <c r="D267" t="n">
        <v>10</v>
      </c>
      <c r="E267" t="n">
        <v>731300</v>
      </c>
    </row>
    <row r="268">
      <c r="A268" s="5" t="n">
        <v>46112</v>
      </c>
      <c r="B268" t="inlineStr">
        <is>
          <t>RO</t>
        </is>
      </c>
      <c r="C268" t="inlineStr">
        <is>
          <t>PL_STD</t>
        </is>
      </c>
      <c r="D268" t="n">
        <v>33</v>
      </c>
      <c r="E268" t="n">
        <v>771100</v>
      </c>
    </row>
    <row r="269">
      <c r="A269" s="5" t="n">
        <v>46142</v>
      </c>
      <c r="B269" t="inlineStr">
        <is>
          <t>CZ</t>
        </is>
      </c>
      <c r="C269" t="inlineStr">
        <is>
          <t>CC_CLASSIC</t>
        </is>
      </c>
      <c r="D269" t="n">
        <v>54</v>
      </c>
      <c r="E269" t="n">
        <v>2358000</v>
      </c>
    </row>
    <row r="270">
      <c r="A270" s="5" t="n">
        <v>46142</v>
      </c>
      <c r="B270" t="inlineStr">
        <is>
          <t>CZ</t>
        </is>
      </c>
      <c r="C270" t="inlineStr">
        <is>
          <t>CC_CONSOL</t>
        </is>
      </c>
      <c r="D270" t="n">
        <v>9</v>
      </c>
      <c r="E270" t="n">
        <v>1604000</v>
      </c>
    </row>
    <row r="271">
      <c r="A271" s="5" t="n">
        <v>46142</v>
      </c>
      <c r="B271" t="inlineStr">
        <is>
          <t>CZ</t>
        </is>
      </c>
      <c r="C271" t="inlineStr">
        <is>
          <t>CC_GOLD</t>
        </is>
      </c>
      <c r="D271" t="n">
        <v>18</v>
      </c>
      <c r="E271" t="n">
        <v>2632000</v>
      </c>
    </row>
    <row r="272">
      <c r="A272" s="5" t="n">
        <v>46142</v>
      </c>
      <c r="B272" t="inlineStr">
        <is>
          <t>CZ</t>
        </is>
      </c>
      <c r="C272" t="inlineStr">
        <is>
          <t>PL_PREM</t>
        </is>
      </c>
      <c r="D272" t="n">
        <v>13</v>
      </c>
      <c r="E272" t="n">
        <v>4154000</v>
      </c>
    </row>
    <row r="273">
      <c r="A273" s="5" t="n">
        <v>46142</v>
      </c>
      <c r="B273" t="inlineStr">
        <is>
          <t>CZ</t>
        </is>
      </c>
      <c r="C273" t="inlineStr">
        <is>
          <t>PL_STD</t>
        </is>
      </c>
      <c r="D273" t="n">
        <v>52</v>
      </c>
      <c r="E273" t="n">
        <v>5938000</v>
      </c>
    </row>
    <row r="274">
      <c r="A274" s="5" t="n">
        <v>46142</v>
      </c>
      <c r="B274" t="inlineStr">
        <is>
          <t>PL</t>
        </is>
      </c>
      <c r="C274" t="inlineStr">
        <is>
          <t>CC_CLASSIC</t>
        </is>
      </c>
      <c r="D274" t="n">
        <v>68</v>
      </c>
      <c r="E274" t="n">
        <v>519100</v>
      </c>
    </row>
    <row r="275">
      <c r="A275" s="5" t="n">
        <v>46142</v>
      </c>
      <c r="B275" t="inlineStr">
        <is>
          <t>PL</t>
        </is>
      </c>
      <c r="C275" t="inlineStr">
        <is>
          <t>CC_CONSOL</t>
        </is>
      </c>
      <c r="D275" t="n">
        <v>20</v>
      </c>
      <c r="E275" t="n">
        <v>557700</v>
      </c>
    </row>
    <row r="276">
      <c r="A276" s="5" t="n">
        <v>46142</v>
      </c>
      <c r="B276" t="inlineStr">
        <is>
          <t>PL</t>
        </is>
      </c>
      <c r="C276" t="inlineStr">
        <is>
          <t>CC_GOLD</t>
        </is>
      </c>
      <c r="D276" t="n">
        <v>12</v>
      </c>
      <c r="E276" t="n">
        <v>333500</v>
      </c>
    </row>
    <row r="277">
      <c r="A277" s="5" t="n">
        <v>46142</v>
      </c>
      <c r="B277" t="inlineStr">
        <is>
          <t>PL</t>
        </is>
      </c>
      <c r="C277" t="inlineStr">
        <is>
          <t>PL_PREM</t>
        </is>
      </c>
      <c r="D277" t="n">
        <v>24</v>
      </c>
      <c r="E277" t="n">
        <v>1435400</v>
      </c>
    </row>
    <row r="278">
      <c r="A278" s="5" t="n">
        <v>46142</v>
      </c>
      <c r="B278" t="inlineStr">
        <is>
          <t>PL</t>
        </is>
      </c>
      <c r="C278" t="inlineStr">
        <is>
          <t>PL_STD</t>
        </is>
      </c>
      <c r="D278" t="n">
        <v>83</v>
      </c>
      <c r="E278" t="n">
        <v>1693200</v>
      </c>
    </row>
    <row r="279">
      <c r="A279" s="5" t="n">
        <v>46142</v>
      </c>
      <c r="B279" t="inlineStr">
        <is>
          <t>RO</t>
        </is>
      </c>
      <c r="C279" t="inlineStr">
        <is>
          <t>CC_CLASSIC</t>
        </is>
      </c>
      <c r="D279" t="n">
        <v>34</v>
      </c>
      <c r="E279" t="n">
        <v>315500</v>
      </c>
    </row>
    <row r="280">
      <c r="A280" s="5" t="n">
        <v>46142</v>
      </c>
      <c r="B280" t="inlineStr">
        <is>
          <t>RO</t>
        </is>
      </c>
      <c r="C280" t="inlineStr">
        <is>
          <t>CC_CONSOL</t>
        </is>
      </c>
      <c r="D280" t="n">
        <v>17</v>
      </c>
      <c r="E280" t="n">
        <v>624400</v>
      </c>
    </row>
    <row r="281">
      <c r="A281" s="5" t="n">
        <v>46142</v>
      </c>
      <c r="B281" t="inlineStr">
        <is>
          <t>RO</t>
        </is>
      </c>
      <c r="C281" t="inlineStr">
        <is>
          <t>CC_GOLD</t>
        </is>
      </c>
      <c r="D281" t="n">
        <v>10</v>
      </c>
      <c r="E281" t="n">
        <v>328000</v>
      </c>
    </row>
    <row r="282">
      <c r="A282" s="5" t="n">
        <v>46142</v>
      </c>
      <c r="B282" t="inlineStr">
        <is>
          <t>RO</t>
        </is>
      </c>
      <c r="C282" t="inlineStr">
        <is>
          <t>PL_PREM</t>
        </is>
      </c>
      <c r="D282" t="n">
        <v>16</v>
      </c>
      <c r="E282" t="n">
        <v>1028400</v>
      </c>
    </row>
    <row r="283">
      <c r="A283" s="5" t="n">
        <v>46142</v>
      </c>
      <c r="B283" t="inlineStr">
        <is>
          <t>RO</t>
        </is>
      </c>
      <c r="C283" t="inlineStr">
        <is>
          <t>PL_STD</t>
        </is>
      </c>
      <c r="D283" t="n">
        <v>40</v>
      </c>
      <c r="E283" t="n">
        <v>881600</v>
      </c>
    </row>
    <row r="284">
      <c r="A284" s="5" t="n">
        <v>46173</v>
      </c>
      <c r="B284" t="inlineStr">
        <is>
          <t>CZ</t>
        </is>
      </c>
      <c r="C284" t="inlineStr">
        <is>
          <t>CC_CLASSIC</t>
        </is>
      </c>
      <c r="D284" t="n">
        <v>47</v>
      </c>
      <c r="E284" t="n">
        <v>2234000</v>
      </c>
    </row>
    <row r="285">
      <c r="A285" s="5" t="n">
        <v>46173</v>
      </c>
      <c r="B285" t="inlineStr">
        <is>
          <t>CZ</t>
        </is>
      </c>
      <c r="C285" t="inlineStr">
        <is>
          <t>CC_CONSOL</t>
        </is>
      </c>
      <c r="D285" t="n">
        <v>15</v>
      </c>
      <c r="E285" t="n">
        <v>3025000</v>
      </c>
    </row>
    <row r="286">
      <c r="A286" s="5" t="n">
        <v>46173</v>
      </c>
      <c r="B286" t="inlineStr">
        <is>
          <t>CZ</t>
        </is>
      </c>
      <c r="C286" t="inlineStr">
        <is>
          <t>CC_GOLD</t>
        </is>
      </c>
      <c r="D286" t="n">
        <v>13</v>
      </c>
      <c r="E286" t="n">
        <v>2015000</v>
      </c>
    </row>
    <row r="287">
      <c r="A287" s="5" t="n">
        <v>46173</v>
      </c>
      <c r="B287" t="inlineStr">
        <is>
          <t>CZ</t>
        </is>
      </c>
      <c r="C287" t="inlineStr">
        <is>
          <t>PL_PREM</t>
        </is>
      </c>
      <c r="D287" t="n">
        <v>13</v>
      </c>
      <c r="E287" t="n">
        <v>4174000</v>
      </c>
    </row>
    <row r="288">
      <c r="A288" s="5" t="n">
        <v>46173</v>
      </c>
      <c r="B288" t="inlineStr">
        <is>
          <t>CZ</t>
        </is>
      </c>
      <c r="C288" t="inlineStr">
        <is>
          <t>PL_STD</t>
        </is>
      </c>
      <c r="D288" t="n">
        <v>52</v>
      </c>
      <c r="E288" t="n">
        <v>6007000</v>
      </c>
    </row>
    <row r="289">
      <c r="A289" s="5" t="n">
        <v>46173</v>
      </c>
      <c r="B289" t="inlineStr">
        <is>
          <t>PL</t>
        </is>
      </c>
      <c r="C289" t="inlineStr">
        <is>
          <t>CC_CLASSIC</t>
        </is>
      </c>
      <c r="D289" t="n">
        <v>73</v>
      </c>
      <c r="E289" t="n">
        <v>546600</v>
      </c>
    </row>
    <row r="290">
      <c r="A290" s="5" t="n">
        <v>46173</v>
      </c>
      <c r="B290" t="inlineStr">
        <is>
          <t>PL</t>
        </is>
      </c>
      <c r="C290" t="inlineStr">
        <is>
          <t>CC_CONSOL</t>
        </is>
      </c>
      <c r="D290" t="n">
        <v>10</v>
      </c>
      <c r="E290" t="n">
        <v>293400</v>
      </c>
    </row>
    <row r="291">
      <c r="A291" s="5" t="n">
        <v>46173</v>
      </c>
      <c r="B291" t="inlineStr">
        <is>
          <t>PL</t>
        </is>
      </c>
      <c r="C291" t="inlineStr">
        <is>
          <t>CC_GOLD</t>
        </is>
      </c>
      <c r="D291" t="n">
        <v>16</v>
      </c>
      <c r="E291" t="n">
        <v>425400</v>
      </c>
    </row>
    <row r="292">
      <c r="A292" s="5" t="n">
        <v>46173</v>
      </c>
      <c r="B292" t="inlineStr">
        <is>
          <t>PL</t>
        </is>
      </c>
      <c r="C292" t="inlineStr">
        <is>
          <t>PL_PREM</t>
        </is>
      </c>
      <c r="D292" t="n">
        <v>28</v>
      </c>
      <c r="E292" t="n">
        <v>1691400</v>
      </c>
    </row>
    <row r="293">
      <c r="A293" s="5" t="n">
        <v>46173</v>
      </c>
      <c r="B293" t="inlineStr">
        <is>
          <t>PL</t>
        </is>
      </c>
      <c r="C293" t="inlineStr">
        <is>
          <t>PL_STD</t>
        </is>
      </c>
      <c r="D293" t="n">
        <v>62</v>
      </c>
      <c r="E293" t="n">
        <v>1146000</v>
      </c>
    </row>
    <row r="294">
      <c r="A294" s="5" t="n">
        <v>46173</v>
      </c>
      <c r="B294" t="inlineStr">
        <is>
          <t>RO</t>
        </is>
      </c>
      <c r="C294" t="inlineStr">
        <is>
          <t>CC_CLASSIC</t>
        </is>
      </c>
      <c r="D294" t="n">
        <v>40</v>
      </c>
      <c r="E294" t="n">
        <v>358500</v>
      </c>
    </row>
    <row r="295">
      <c r="A295" s="5" t="n">
        <v>46173</v>
      </c>
      <c r="B295" t="inlineStr">
        <is>
          <t>RO</t>
        </is>
      </c>
      <c r="C295" t="inlineStr">
        <is>
          <t>CC_CONSOL</t>
        </is>
      </c>
      <c r="D295" t="n">
        <v>10</v>
      </c>
      <c r="E295" t="n">
        <v>326400</v>
      </c>
    </row>
    <row r="296">
      <c r="A296" s="5" t="n">
        <v>46173</v>
      </c>
      <c r="B296" t="inlineStr">
        <is>
          <t>RO</t>
        </is>
      </c>
      <c r="C296" t="inlineStr">
        <is>
          <t>CC_GOLD</t>
        </is>
      </c>
      <c r="D296" t="n">
        <v>10</v>
      </c>
      <c r="E296" t="n">
        <v>331300</v>
      </c>
    </row>
    <row r="297">
      <c r="A297" s="5" t="n">
        <v>46173</v>
      </c>
      <c r="B297" t="inlineStr">
        <is>
          <t>RO</t>
        </is>
      </c>
      <c r="C297" t="inlineStr">
        <is>
          <t>PL_PREM</t>
        </is>
      </c>
      <c r="D297" t="n">
        <v>13</v>
      </c>
      <c r="E297" t="n">
        <v>878700</v>
      </c>
    </row>
    <row r="298">
      <c r="A298" s="5" t="n">
        <v>46173</v>
      </c>
      <c r="B298" t="inlineStr">
        <is>
          <t>RO</t>
        </is>
      </c>
      <c r="C298" t="inlineStr">
        <is>
          <t>PL_STD</t>
        </is>
      </c>
      <c r="D298" t="n">
        <v>35</v>
      </c>
      <c r="E298" t="n">
        <v>728600</v>
      </c>
    </row>
    <row r="299">
      <c r="A299" s="5" t="n">
        <v>46203</v>
      </c>
      <c r="B299" t="inlineStr">
        <is>
          <t>CZ</t>
        </is>
      </c>
      <c r="C299" t="inlineStr">
        <is>
          <t>CC_CLASSIC</t>
        </is>
      </c>
      <c r="D299" t="n">
        <v>42</v>
      </c>
      <c r="E299" t="n">
        <v>1815000</v>
      </c>
    </row>
    <row r="300">
      <c r="A300" s="5" t="n">
        <v>46203</v>
      </c>
      <c r="B300" t="inlineStr">
        <is>
          <t>CZ</t>
        </is>
      </c>
      <c r="C300" t="inlineStr">
        <is>
          <t>CC_CONSOL</t>
        </is>
      </c>
      <c r="D300" t="n">
        <v>13</v>
      </c>
      <c r="E300" t="n">
        <v>2594000</v>
      </c>
    </row>
    <row r="301">
      <c r="A301" s="5" t="n">
        <v>46203</v>
      </c>
      <c r="B301" t="inlineStr">
        <is>
          <t>CZ</t>
        </is>
      </c>
      <c r="C301" t="inlineStr">
        <is>
          <t>CC_GOLD</t>
        </is>
      </c>
      <c r="D301" t="n">
        <v>9</v>
      </c>
      <c r="E301" t="n">
        <v>1276000</v>
      </c>
    </row>
    <row r="302">
      <c r="A302" s="5" t="n">
        <v>46203</v>
      </c>
      <c r="B302" t="inlineStr">
        <is>
          <t>CZ</t>
        </is>
      </c>
      <c r="C302" t="inlineStr">
        <is>
          <t>PL_PREM</t>
        </is>
      </c>
      <c r="D302" t="n">
        <v>15</v>
      </c>
      <c r="E302" t="n">
        <v>4930000</v>
      </c>
    </row>
    <row r="303">
      <c r="A303" s="5" t="n">
        <v>46203</v>
      </c>
      <c r="B303" t="inlineStr">
        <is>
          <t>CZ</t>
        </is>
      </c>
      <c r="C303" t="inlineStr">
        <is>
          <t>PL_STD</t>
        </is>
      </c>
      <c r="D303" t="n">
        <v>48</v>
      </c>
      <c r="E303" t="n">
        <v>5178000</v>
      </c>
    </row>
    <row r="304">
      <c r="A304" s="5" t="n">
        <v>46203</v>
      </c>
      <c r="B304" t="inlineStr">
        <is>
          <t>PL</t>
        </is>
      </c>
      <c r="C304" t="inlineStr">
        <is>
          <t>CC_CLASSIC</t>
        </is>
      </c>
      <c r="D304" t="n">
        <v>71</v>
      </c>
      <c r="E304" t="n">
        <v>581600</v>
      </c>
    </row>
    <row r="305">
      <c r="A305" s="5" t="n">
        <v>46203</v>
      </c>
      <c r="B305" t="inlineStr">
        <is>
          <t>PL</t>
        </is>
      </c>
      <c r="C305" t="inlineStr">
        <is>
          <t>CC_CONSOL</t>
        </is>
      </c>
      <c r="D305" t="n">
        <v>24</v>
      </c>
      <c r="E305" t="n">
        <v>699400</v>
      </c>
    </row>
    <row r="306">
      <c r="A306" s="5" t="n">
        <v>46203</v>
      </c>
      <c r="B306" t="inlineStr">
        <is>
          <t>PL</t>
        </is>
      </c>
      <c r="C306" t="inlineStr">
        <is>
          <t>CC_GOLD</t>
        </is>
      </c>
      <c r="D306" t="n">
        <v>21</v>
      </c>
      <c r="E306" t="n">
        <v>571900</v>
      </c>
    </row>
    <row r="307">
      <c r="A307" s="5" t="n">
        <v>46203</v>
      </c>
      <c r="B307" t="inlineStr">
        <is>
          <t>PL</t>
        </is>
      </c>
      <c r="C307" t="inlineStr">
        <is>
          <t>PL_PREM</t>
        </is>
      </c>
      <c r="D307" t="n">
        <v>21</v>
      </c>
      <c r="E307" t="n">
        <v>1355600</v>
      </c>
    </row>
    <row r="308">
      <c r="A308" s="5" t="n">
        <v>46203</v>
      </c>
      <c r="B308" t="inlineStr">
        <is>
          <t>PL</t>
        </is>
      </c>
      <c r="C308" t="inlineStr">
        <is>
          <t>PL_STD</t>
        </is>
      </c>
      <c r="D308" t="n">
        <v>66</v>
      </c>
      <c r="E308" t="n">
        <v>1291000</v>
      </c>
    </row>
    <row r="309">
      <c r="A309" s="5" t="n">
        <v>46203</v>
      </c>
      <c r="B309" t="inlineStr">
        <is>
          <t>RO</t>
        </is>
      </c>
      <c r="C309" t="inlineStr">
        <is>
          <t>CC_CLASSIC</t>
        </is>
      </c>
      <c r="D309" t="n">
        <v>40</v>
      </c>
      <c r="E309" t="n">
        <v>369900</v>
      </c>
    </row>
    <row r="310">
      <c r="A310" s="5" t="n">
        <v>46203</v>
      </c>
      <c r="B310" t="inlineStr">
        <is>
          <t>RO</t>
        </is>
      </c>
      <c r="C310" t="inlineStr">
        <is>
          <t>CC_CONSOL</t>
        </is>
      </c>
      <c r="D310" t="n">
        <v>10</v>
      </c>
      <c r="E310" t="n">
        <v>368300</v>
      </c>
    </row>
    <row r="311">
      <c r="A311" s="5" t="n">
        <v>46203</v>
      </c>
      <c r="B311" t="inlineStr">
        <is>
          <t>RO</t>
        </is>
      </c>
      <c r="C311" t="inlineStr">
        <is>
          <t>CC_GOLD</t>
        </is>
      </c>
      <c r="D311" t="n">
        <v>14</v>
      </c>
      <c r="E311" t="n">
        <v>376000</v>
      </c>
    </row>
    <row r="312">
      <c r="A312" s="5" t="n">
        <v>46203</v>
      </c>
      <c r="B312" t="inlineStr">
        <is>
          <t>RO</t>
        </is>
      </c>
      <c r="C312" t="inlineStr">
        <is>
          <t>PL_PREM</t>
        </is>
      </c>
      <c r="D312" t="n">
        <v>14</v>
      </c>
      <c r="E312" t="n">
        <v>927000</v>
      </c>
    </row>
    <row r="313">
      <c r="A313" s="5" t="n">
        <v>46203</v>
      </c>
      <c r="B313" t="inlineStr">
        <is>
          <t>RO</t>
        </is>
      </c>
      <c r="C313" t="inlineStr">
        <is>
          <t>PL_STD</t>
        </is>
      </c>
      <c r="D313" t="n">
        <v>42</v>
      </c>
      <c r="E313" t="n">
        <v>987200</v>
      </c>
    </row>
    <row r="314">
      <c r="A314" s="5" t="n">
        <v>46234</v>
      </c>
      <c r="B314" t="inlineStr">
        <is>
          <t>CZ</t>
        </is>
      </c>
      <c r="C314" t="inlineStr">
        <is>
          <t>CC_CLASSIC</t>
        </is>
      </c>
      <c r="D314" t="n">
        <v>41</v>
      </c>
      <c r="E314" t="n">
        <v>1570000</v>
      </c>
    </row>
    <row r="315">
      <c r="A315" s="5" t="n">
        <v>46234</v>
      </c>
      <c r="B315" t="inlineStr">
        <is>
          <t>CZ</t>
        </is>
      </c>
      <c r="C315" t="inlineStr">
        <is>
          <t>CC_CONSOL</t>
        </is>
      </c>
      <c r="D315" t="n">
        <v>10</v>
      </c>
      <c r="E315" t="n">
        <v>1539000</v>
      </c>
    </row>
    <row r="316">
      <c r="A316" s="5" t="n">
        <v>46234</v>
      </c>
      <c r="B316" t="inlineStr">
        <is>
          <t>CZ</t>
        </is>
      </c>
      <c r="C316" t="inlineStr">
        <is>
          <t>CC_GOLD</t>
        </is>
      </c>
      <c r="D316" t="n">
        <v>18</v>
      </c>
      <c r="E316" t="n">
        <v>2899000</v>
      </c>
    </row>
    <row r="317">
      <c r="A317" s="5" t="n">
        <v>46234</v>
      </c>
      <c r="B317" t="inlineStr">
        <is>
          <t>CZ</t>
        </is>
      </c>
      <c r="C317" t="inlineStr">
        <is>
          <t>PL_PREM</t>
        </is>
      </c>
      <c r="D317" t="n">
        <v>14</v>
      </c>
      <c r="E317" t="n">
        <v>4694000</v>
      </c>
    </row>
    <row r="318">
      <c r="A318" s="5" t="n">
        <v>46234</v>
      </c>
      <c r="B318" t="inlineStr">
        <is>
          <t>CZ</t>
        </is>
      </c>
      <c r="C318" t="inlineStr">
        <is>
          <t>PL_STD</t>
        </is>
      </c>
      <c r="D318" t="n">
        <v>48</v>
      </c>
      <c r="E318" t="n">
        <v>5377000</v>
      </c>
    </row>
    <row r="319">
      <c r="A319" s="5" t="n">
        <v>46234</v>
      </c>
      <c r="B319" t="inlineStr">
        <is>
          <t>PL</t>
        </is>
      </c>
      <c r="C319" t="inlineStr">
        <is>
          <t>CC_CLASSIC</t>
        </is>
      </c>
      <c r="D319" t="n">
        <v>61</v>
      </c>
      <c r="E319" t="n">
        <v>433300</v>
      </c>
    </row>
    <row r="320">
      <c r="A320" s="5" t="n">
        <v>46234</v>
      </c>
      <c r="B320" t="inlineStr">
        <is>
          <t>PL</t>
        </is>
      </c>
      <c r="C320" t="inlineStr">
        <is>
          <t>CC_CONSOL</t>
        </is>
      </c>
      <c r="D320" t="n">
        <v>13</v>
      </c>
      <c r="E320" t="n">
        <v>389600</v>
      </c>
    </row>
    <row r="321">
      <c r="A321" s="5" t="n">
        <v>46234</v>
      </c>
      <c r="B321" t="inlineStr">
        <is>
          <t>PL</t>
        </is>
      </c>
      <c r="C321" t="inlineStr">
        <is>
          <t>CC_GOLD</t>
        </is>
      </c>
      <c r="D321" t="n">
        <v>16</v>
      </c>
      <c r="E321" t="n">
        <v>450700</v>
      </c>
    </row>
    <row r="322">
      <c r="A322" s="5" t="n">
        <v>46234</v>
      </c>
      <c r="B322" t="inlineStr">
        <is>
          <t>PL</t>
        </is>
      </c>
      <c r="C322" t="inlineStr">
        <is>
          <t>PL_PREM</t>
        </is>
      </c>
      <c r="D322" t="n">
        <v>26</v>
      </c>
      <c r="E322" t="n">
        <v>1391400</v>
      </c>
    </row>
    <row r="323">
      <c r="A323" s="5" t="n">
        <v>46234</v>
      </c>
      <c r="B323" t="inlineStr">
        <is>
          <t>PL</t>
        </is>
      </c>
      <c r="C323" t="inlineStr">
        <is>
          <t>PL_STD</t>
        </is>
      </c>
      <c r="D323" t="n">
        <v>52</v>
      </c>
      <c r="E323" t="n">
        <v>1001200</v>
      </c>
    </row>
    <row r="324">
      <c r="A324" s="5" t="n">
        <v>46234</v>
      </c>
      <c r="B324" t="inlineStr">
        <is>
          <t>RO</t>
        </is>
      </c>
      <c r="C324" t="inlineStr">
        <is>
          <t>CC_CLASSIC</t>
        </is>
      </c>
      <c r="D324" t="n">
        <v>34</v>
      </c>
      <c r="E324" t="n">
        <v>312400</v>
      </c>
    </row>
    <row r="325">
      <c r="A325" s="5" t="n">
        <v>46234</v>
      </c>
      <c r="B325" t="inlineStr">
        <is>
          <t>RO</t>
        </is>
      </c>
      <c r="C325" t="inlineStr">
        <is>
          <t>CC_CONSOL</t>
        </is>
      </c>
      <c r="D325" t="n">
        <v>9</v>
      </c>
      <c r="E325" t="n">
        <v>331200</v>
      </c>
    </row>
    <row r="326">
      <c r="A326" s="5" t="n">
        <v>46234</v>
      </c>
      <c r="B326" t="inlineStr">
        <is>
          <t>RO</t>
        </is>
      </c>
      <c r="C326" t="inlineStr">
        <is>
          <t>CC_GOLD</t>
        </is>
      </c>
      <c r="D326" t="n">
        <v>8</v>
      </c>
      <c r="E326" t="n">
        <v>295000</v>
      </c>
    </row>
    <row r="327">
      <c r="A327" s="5" t="n">
        <v>46234</v>
      </c>
      <c r="B327" t="inlineStr">
        <is>
          <t>RO</t>
        </is>
      </c>
      <c r="C327" t="inlineStr">
        <is>
          <t>PL_PREM</t>
        </is>
      </c>
      <c r="D327" t="n">
        <v>11</v>
      </c>
      <c r="E327" t="n">
        <v>766300</v>
      </c>
    </row>
    <row r="328">
      <c r="A328" s="5" t="n">
        <v>46234</v>
      </c>
      <c r="B328" t="inlineStr">
        <is>
          <t>RO</t>
        </is>
      </c>
      <c r="C328" t="inlineStr">
        <is>
          <t>PL_STD</t>
        </is>
      </c>
      <c r="D328" t="n">
        <v>44</v>
      </c>
      <c r="E328" t="n">
        <v>1140800</v>
      </c>
    </row>
    <row r="329">
      <c r="A329" s="5" t="n">
        <v>46265</v>
      </c>
      <c r="B329" t="inlineStr">
        <is>
          <t>CZ</t>
        </is>
      </c>
      <c r="C329" t="inlineStr">
        <is>
          <t>CC_CLASSIC</t>
        </is>
      </c>
      <c r="D329" t="n">
        <v>60</v>
      </c>
      <c r="E329" t="n">
        <v>2683000</v>
      </c>
    </row>
    <row r="330">
      <c r="A330" s="5" t="n">
        <v>46265</v>
      </c>
      <c r="B330" t="inlineStr">
        <is>
          <t>CZ</t>
        </is>
      </c>
      <c r="C330" t="inlineStr">
        <is>
          <t>CC_CONSOL</t>
        </is>
      </c>
      <c r="D330" t="n">
        <v>11</v>
      </c>
      <c r="E330" t="n">
        <v>2057000</v>
      </c>
    </row>
    <row r="331">
      <c r="A331" s="5" t="n">
        <v>46265</v>
      </c>
      <c r="B331" t="inlineStr">
        <is>
          <t>CZ</t>
        </is>
      </c>
      <c r="C331" t="inlineStr">
        <is>
          <t>CC_GOLD</t>
        </is>
      </c>
      <c r="D331" t="n">
        <v>14</v>
      </c>
      <c r="E331" t="n">
        <v>2113000</v>
      </c>
    </row>
    <row r="332">
      <c r="A332" s="5" t="n">
        <v>46265</v>
      </c>
      <c r="B332" t="inlineStr">
        <is>
          <t>CZ</t>
        </is>
      </c>
      <c r="C332" t="inlineStr">
        <is>
          <t>PL_PREM</t>
        </is>
      </c>
      <c r="D332" t="n">
        <v>17</v>
      </c>
      <c r="E332" t="n">
        <v>4783000</v>
      </c>
    </row>
    <row r="333">
      <c r="A333" s="5" t="n">
        <v>46265</v>
      </c>
      <c r="B333" t="inlineStr">
        <is>
          <t>CZ</t>
        </is>
      </c>
      <c r="C333" t="inlineStr">
        <is>
          <t>PL_STD</t>
        </is>
      </c>
      <c r="D333" t="n">
        <v>48</v>
      </c>
      <c r="E333" t="n">
        <v>5367000</v>
      </c>
    </row>
    <row r="334">
      <c r="A334" s="5" t="n">
        <v>46265</v>
      </c>
      <c r="B334" t="inlineStr">
        <is>
          <t>PL</t>
        </is>
      </c>
      <c r="C334" t="inlineStr">
        <is>
          <t>CC_CLASSIC</t>
        </is>
      </c>
      <c r="D334" t="n">
        <v>83</v>
      </c>
      <c r="E334" t="n">
        <v>672200</v>
      </c>
    </row>
    <row r="335">
      <c r="A335" s="5" t="n">
        <v>46265</v>
      </c>
      <c r="B335" t="inlineStr">
        <is>
          <t>PL</t>
        </is>
      </c>
      <c r="C335" t="inlineStr">
        <is>
          <t>CC_CONSOL</t>
        </is>
      </c>
      <c r="D335" t="n">
        <v>11</v>
      </c>
      <c r="E335" t="n">
        <v>297700</v>
      </c>
    </row>
    <row r="336">
      <c r="A336" s="5" t="n">
        <v>46265</v>
      </c>
      <c r="B336" t="inlineStr">
        <is>
          <t>PL</t>
        </is>
      </c>
      <c r="C336" t="inlineStr">
        <is>
          <t>CC_GOLD</t>
        </is>
      </c>
      <c r="D336" t="n">
        <v>17</v>
      </c>
      <c r="E336" t="n">
        <v>489300</v>
      </c>
    </row>
    <row r="337">
      <c r="A337" s="5" t="n">
        <v>46265</v>
      </c>
      <c r="B337" t="inlineStr">
        <is>
          <t>PL</t>
        </is>
      </c>
      <c r="C337" t="inlineStr">
        <is>
          <t>PL_PREM</t>
        </is>
      </c>
      <c r="D337" t="n">
        <v>26</v>
      </c>
      <c r="E337" t="n">
        <v>1596600</v>
      </c>
    </row>
    <row r="338">
      <c r="A338" s="5" t="n">
        <v>46265</v>
      </c>
      <c r="B338" t="inlineStr">
        <is>
          <t>PL</t>
        </is>
      </c>
      <c r="C338" t="inlineStr">
        <is>
          <t>PL_STD</t>
        </is>
      </c>
      <c r="D338" t="n">
        <v>66</v>
      </c>
      <c r="E338" t="n">
        <v>1338200</v>
      </c>
    </row>
    <row r="339">
      <c r="A339" s="5" t="n">
        <v>46265</v>
      </c>
      <c r="B339" t="inlineStr">
        <is>
          <t>RO</t>
        </is>
      </c>
      <c r="C339" t="inlineStr">
        <is>
          <t>CC_CLASSIC</t>
        </is>
      </c>
      <c r="D339" t="n">
        <v>41</v>
      </c>
      <c r="E339" t="n">
        <v>395700</v>
      </c>
    </row>
    <row r="340">
      <c r="A340" s="5" t="n">
        <v>46265</v>
      </c>
      <c r="B340" t="inlineStr">
        <is>
          <t>RO</t>
        </is>
      </c>
      <c r="C340" t="inlineStr">
        <is>
          <t>CC_CONSOL</t>
        </is>
      </c>
      <c r="D340" t="n">
        <v>12</v>
      </c>
      <c r="E340" t="n">
        <v>477800</v>
      </c>
    </row>
    <row r="341">
      <c r="A341" s="5" t="n">
        <v>46265</v>
      </c>
      <c r="B341" t="inlineStr">
        <is>
          <t>RO</t>
        </is>
      </c>
      <c r="C341" t="inlineStr">
        <is>
          <t>CC_GOLD</t>
        </is>
      </c>
      <c r="D341" t="n">
        <v>5</v>
      </c>
      <c r="E341" t="n">
        <v>173800</v>
      </c>
    </row>
    <row r="342">
      <c r="A342" s="5" t="n">
        <v>46265</v>
      </c>
      <c r="B342" t="inlineStr">
        <is>
          <t>RO</t>
        </is>
      </c>
      <c r="C342" t="inlineStr">
        <is>
          <t>PL_PREM</t>
        </is>
      </c>
      <c r="D342" t="n">
        <v>18</v>
      </c>
      <c r="E342" t="n">
        <v>1174700</v>
      </c>
    </row>
    <row r="343">
      <c r="A343" s="5" t="n">
        <v>46265</v>
      </c>
      <c r="B343" t="inlineStr">
        <is>
          <t>RO</t>
        </is>
      </c>
      <c r="C343" t="inlineStr">
        <is>
          <t>PL_STD</t>
        </is>
      </c>
      <c r="D343" t="n">
        <v>38</v>
      </c>
      <c r="E343" t="n">
        <v>857800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month_end</t>
        </is>
      </c>
      <c r="B1" s="4" t="inlineStr">
        <is>
          <t>country_code</t>
        </is>
      </c>
      <c r="C1" s="4" t="inlineStr">
        <is>
          <t>product_code</t>
        </is>
      </c>
      <c r="D1" s="4" t="inlineStr">
        <is>
          <t>received</t>
        </is>
      </c>
      <c r="E1" s="4" t="inlineStr">
        <is>
          <t>approved</t>
        </is>
      </c>
      <c r="F1" s="4" t="inlineStr">
        <is>
          <t>declined</t>
        </is>
      </c>
      <c r="G1" s="4" t="inlineStr">
        <is>
          <t>withdrawn</t>
        </is>
      </c>
      <c r="H1" s="4" t="inlineStr">
        <is>
          <t>incomplete</t>
        </is>
      </c>
    </row>
    <row r="2">
      <c r="A2" s="5" t="n">
        <v>45565</v>
      </c>
      <c r="B2" t="inlineStr">
        <is>
          <t>CZ</t>
        </is>
      </c>
      <c r="C2" t="inlineStr">
        <is>
          <t>CC_CLASSIC</t>
        </is>
      </c>
      <c r="D2" t="n">
        <v>90</v>
      </c>
      <c r="E2" t="n">
        <v>54</v>
      </c>
      <c r="F2" t="n">
        <v>27</v>
      </c>
      <c r="G2" t="n">
        <v>6</v>
      </c>
      <c r="H2" t="n">
        <v>3</v>
      </c>
    </row>
    <row r="3">
      <c r="A3" s="5" t="n">
        <v>45565</v>
      </c>
      <c r="B3" t="inlineStr">
        <is>
          <t>CZ</t>
        </is>
      </c>
      <c r="C3" t="inlineStr">
        <is>
          <t>CC_GOLD</t>
        </is>
      </c>
      <c r="D3" t="n">
        <v>32</v>
      </c>
      <c r="E3" t="n">
        <v>11</v>
      </c>
      <c r="F3" t="n">
        <v>15</v>
      </c>
      <c r="G3" t="n">
        <v>3</v>
      </c>
      <c r="H3" t="n">
        <v>3</v>
      </c>
    </row>
    <row r="4">
      <c r="A4" s="5" t="n">
        <v>45565</v>
      </c>
      <c r="B4" t="inlineStr">
        <is>
          <t>CZ</t>
        </is>
      </c>
      <c r="C4" t="inlineStr">
        <is>
          <t>PL_PREM</t>
        </is>
      </c>
      <c r="D4" t="n">
        <v>33</v>
      </c>
      <c r="E4" t="n">
        <v>10</v>
      </c>
      <c r="F4" t="n">
        <v>18</v>
      </c>
      <c r="G4" t="n">
        <v>3</v>
      </c>
      <c r="H4" t="n">
        <v>2</v>
      </c>
    </row>
    <row r="5">
      <c r="A5" s="5" t="n">
        <v>45565</v>
      </c>
      <c r="B5" t="inlineStr">
        <is>
          <t>CZ</t>
        </is>
      </c>
      <c r="C5" t="inlineStr">
        <is>
          <t>PL_STD</t>
        </is>
      </c>
      <c r="D5" t="n">
        <v>88</v>
      </c>
      <c r="E5" t="n">
        <v>57</v>
      </c>
      <c r="F5" t="n">
        <v>26</v>
      </c>
      <c r="G5" t="n">
        <v>5</v>
      </c>
      <c r="H5" t="n">
        <v>0</v>
      </c>
    </row>
    <row r="6">
      <c r="A6" s="5" t="n">
        <v>45565</v>
      </c>
      <c r="B6" t="inlineStr">
        <is>
          <t>PL</t>
        </is>
      </c>
      <c r="C6" t="inlineStr">
        <is>
          <t>CC_CLASSIC</t>
        </is>
      </c>
      <c r="D6" t="n">
        <v>124</v>
      </c>
      <c r="E6" t="n">
        <v>64</v>
      </c>
      <c r="F6" t="n">
        <v>49</v>
      </c>
      <c r="G6" t="n">
        <v>6</v>
      </c>
      <c r="H6" t="n">
        <v>5</v>
      </c>
    </row>
    <row r="7">
      <c r="A7" s="5" t="n">
        <v>45565</v>
      </c>
      <c r="B7" t="inlineStr">
        <is>
          <t>PL</t>
        </is>
      </c>
      <c r="C7" t="inlineStr">
        <is>
          <t>CC_GOLD</t>
        </is>
      </c>
      <c r="D7" t="n">
        <v>50</v>
      </c>
      <c r="E7" t="n">
        <v>15</v>
      </c>
      <c r="F7" t="n">
        <v>30</v>
      </c>
      <c r="G7" t="n">
        <v>4</v>
      </c>
      <c r="H7" t="n">
        <v>1</v>
      </c>
    </row>
    <row r="8">
      <c r="A8" s="5" t="n">
        <v>45565</v>
      </c>
      <c r="B8" t="inlineStr">
        <is>
          <t>PL</t>
        </is>
      </c>
      <c r="C8" t="inlineStr">
        <is>
          <t>PL_PREM</t>
        </is>
      </c>
      <c r="D8" t="n">
        <v>53</v>
      </c>
      <c r="E8" t="n">
        <v>22</v>
      </c>
      <c r="F8" t="n">
        <v>22</v>
      </c>
      <c r="G8" t="n">
        <v>7</v>
      </c>
      <c r="H8" t="n">
        <v>2</v>
      </c>
    </row>
    <row r="9">
      <c r="A9" s="5" t="n">
        <v>45565</v>
      </c>
      <c r="B9" t="inlineStr">
        <is>
          <t>PL</t>
        </is>
      </c>
      <c r="C9" t="inlineStr">
        <is>
          <t>PL_STD</t>
        </is>
      </c>
      <c r="D9" t="n">
        <v>128</v>
      </c>
      <c r="E9" t="n">
        <v>72</v>
      </c>
      <c r="F9" t="n">
        <v>45</v>
      </c>
      <c r="G9" t="n">
        <v>8</v>
      </c>
      <c r="H9" t="n">
        <v>3</v>
      </c>
    </row>
    <row r="10">
      <c r="A10" s="5" t="n">
        <v>45565</v>
      </c>
      <c r="B10" t="inlineStr">
        <is>
          <t>RO</t>
        </is>
      </c>
      <c r="C10" t="inlineStr">
        <is>
          <t>CC_CLASSIC</t>
        </is>
      </c>
      <c r="D10" t="n">
        <v>64</v>
      </c>
      <c r="E10" t="n">
        <v>36</v>
      </c>
      <c r="F10" t="n">
        <v>27</v>
      </c>
      <c r="G10" t="n">
        <v>1</v>
      </c>
      <c r="H10" t="n">
        <v>0</v>
      </c>
    </row>
    <row r="11">
      <c r="A11" s="5" t="n">
        <v>45565</v>
      </c>
      <c r="B11" t="inlineStr">
        <is>
          <t>RO</t>
        </is>
      </c>
      <c r="C11" t="inlineStr">
        <is>
          <t>CC_GOLD</t>
        </is>
      </c>
      <c r="D11" t="n">
        <v>28</v>
      </c>
      <c r="E11" t="n">
        <v>7</v>
      </c>
      <c r="F11" t="n">
        <v>15</v>
      </c>
      <c r="G11" t="n">
        <v>3</v>
      </c>
      <c r="H11" t="n">
        <v>3</v>
      </c>
    </row>
    <row r="12">
      <c r="A12" s="5" t="n">
        <v>45565</v>
      </c>
      <c r="B12" t="inlineStr">
        <is>
          <t>RO</t>
        </is>
      </c>
      <c r="C12" t="inlineStr">
        <is>
          <t>PL_PREM</t>
        </is>
      </c>
      <c r="D12" t="n">
        <v>30</v>
      </c>
      <c r="E12" t="n">
        <v>16</v>
      </c>
      <c r="F12" t="n">
        <v>11</v>
      </c>
      <c r="G12" t="n">
        <v>2</v>
      </c>
      <c r="H12" t="n">
        <v>1</v>
      </c>
    </row>
    <row r="13">
      <c r="A13" s="5" t="n">
        <v>45565</v>
      </c>
      <c r="B13" t="inlineStr">
        <is>
          <t>RO</t>
        </is>
      </c>
      <c r="C13" t="inlineStr">
        <is>
          <t>PL_STD</t>
        </is>
      </c>
      <c r="D13" t="n">
        <v>104</v>
      </c>
      <c r="E13" t="n">
        <v>56</v>
      </c>
      <c r="F13" t="n">
        <v>37</v>
      </c>
      <c r="G13" t="n">
        <v>8</v>
      </c>
      <c r="H13" t="n">
        <v>3</v>
      </c>
    </row>
    <row r="14">
      <c r="A14" s="5" t="n">
        <v>45596</v>
      </c>
      <c r="B14" t="inlineStr">
        <is>
          <t>CZ</t>
        </is>
      </c>
      <c r="C14" t="inlineStr">
        <is>
          <t>CC_CLASSIC</t>
        </is>
      </c>
      <c r="D14" t="n">
        <v>82</v>
      </c>
      <c r="E14" t="n">
        <v>51</v>
      </c>
      <c r="F14" t="n">
        <v>24</v>
      </c>
      <c r="G14" t="n">
        <v>5</v>
      </c>
      <c r="H14" t="n">
        <v>2</v>
      </c>
    </row>
    <row r="15">
      <c r="A15" s="5" t="n">
        <v>45596</v>
      </c>
      <c r="B15" t="inlineStr">
        <is>
          <t>CZ</t>
        </is>
      </c>
      <c r="C15" t="inlineStr">
        <is>
          <t>CC_GOLD</t>
        </is>
      </c>
      <c r="D15" t="n">
        <v>36</v>
      </c>
      <c r="E15" t="n">
        <v>15</v>
      </c>
      <c r="F15" t="n">
        <v>17</v>
      </c>
      <c r="G15" t="n">
        <v>2</v>
      </c>
      <c r="H15" t="n">
        <v>2</v>
      </c>
    </row>
    <row r="16">
      <c r="A16" s="5" t="n">
        <v>45596</v>
      </c>
      <c r="B16" t="inlineStr">
        <is>
          <t>CZ</t>
        </is>
      </c>
      <c r="C16" t="inlineStr">
        <is>
          <t>PL_PREM</t>
        </is>
      </c>
      <c r="D16" t="n">
        <v>40</v>
      </c>
      <c r="E16" t="n">
        <v>15</v>
      </c>
      <c r="F16" t="n">
        <v>18</v>
      </c>
      <c r="G16" t="n">
        <v>1</v>
      </c>
      <c r="H16" t="n">
        <v>6</v>
      </c>
    </row>
    <row r="17">
      <c r="A17" s="5" t="n">
        <v>45596</v>
      </c>
      <c r="B17" t="inlineStr">
        <is>
          <t>CZ</t>
        </is>
      </c>
      <c r="C17" t="inlineStr">
        <is>
          <t>PL_STD</t>
        </is>
      </c>
      <c r="D17" t="n">
        <v>92</v>
      </c>
      <c r="E17" t="n">
        <v>51</v>
      </c>
      <c r="F17" t="n">
        <v>28</v>
      </c>
      <c r="G17" t="n">
        <v>8</v>
      </c>
      <c r="H17" t="n">
        <v>5</v>
      </c>
    </row>
    <row r="18">
      <c r="A18" s="5" t="n">
        <v>45596</v>
      </c>
      <c r="B18" t="inlineStr">
        <is>
          <t>PL</t>
        </is>
      </c>
      <c r="C18" t="inlineStr">
        <is>
          <t>CC_CLASSIC</t>
        </is>
      </c>
      <c r="D18" t="n">
        <v>117</v>
      </c>
      <c r="E18" t="n">
        <v>59</v>
      </c>
      <c r="F18" t="n">
        <v>47</v>
      </c>
      <c r="G18" t="n">
        <v>6</v>
      </c>
      <c r="H18" t="n">
        <v>5</v>
      </c>
    </row>
    <row r="19">
      <c r="A19" s="5" t="n">
        <v>45596</v>
      </c>
      <c r="B19" t="inlineStr">
        <is>
          <t>PL</t>
        </is>
      </c>
      <c r="C19" t="inlineStr">
        <is>
          <t>CC_GOLD</t>
        </is>
      </c>
      <c r="D19" t="n">
        <v>48</v>
      </c>
      <c r="E19" t="n">
        <v>24</v>
      </c>
      <c r="F19" t="n">
        <v>24</v>
      </c>
      <c r="G19" t="n">
        <v>0</v>
      </c>
      <c r="H19" t="n">
        <v>0</v>
      </c>
    </row>
    <row r="20">
      <c r="A20" s="5" t="n">
        <v>45596</v>
      </c>
      <c r="B20" t="inlineStr">
        <is>
          <t>PL</t>
        </is>
      </c>
      <c r="C20" t="inlineStr">
        <is>
          <t>PL_PREM</t>
        </is>
      </c>
      <c r="D20" t="n">
        <v>71</v>
      </c>
      <c r="E20" t="n">
        <v>28</v>
      </c>
      <c r="F20" t="n">
        <v>42</v>
      </c>
      <c r="G20" t="n">
        <v>0</v>
      </c>
      <c r="H20" t="n">
        <v>1</v>
      </c>
    </row>
    <row r="21">
      <c r="A21" s="5" t="n">
        <v>45596</v>
      </c>
      <c r="B21" t="inlineStr">
        <is>
          <t>PL</t>
        </is>
      </c>
      <c r="C21" t="inlineStr">
        <is>
          <t>PL_STD</t>
        </is>
      </c>
      <c r="D21" t="n">
        <v>125</v>
      </c>
      <c r="E21" t="n">
        <v>71</v>
      </c>
      <c r="F21" t="n">
        <v>43</v>
      </c>
      <c r="G21" t="n">
        <v>5</v>
      </c>
      <c r="H21" t="n">
        <v>6</v>
      </c>
    </row>
    <row r="22">
      <c r="A22" s="5" t="n">
        <v>45596</v>
      </c>
      <c r="B22" t="inlineStr">
        <is>
          <t>RO</t>
        </is>
      </c>
      <c r="C22" t="inlineStr">
        <is>
          <t>CC_CLASSIC</t>
        </is>
      </c>
      <c r="D22" t="n">
        <v>64</v>
      </c>
      <c r="E22" t="n">
        <v>35</v>
      </c>
      <c r="F22" t="n">
        <v>21</v>
      </c>
      <c r="G22" t="n">
        <v>5</v>
      </c>
      <c r="H22" t="n">
        <v>3</v>
      </c>
    </row>
    <row r="23">
      <c r="A23" s="5" t="n">
        <v>45596</v>
      </c>
      <c r="B23" t="inlineStr">
        <is>
          <t>RO</t>
        </is>
      </c>
      <c r="C23" t="inlineStr">
        <is>
          <t>CC_GOLD</t>
        </is>
      </c>
      <c r="D23" t="n">
        <v>29</v>
      </c>
      <c r="E23" t="n">
        <v>11</v>
      </c>
      <c r="F23" t="n">
        <v>14</v>
      </c>
      <c r="G23" t="n">
        <v>3</v>
      </c>
      <c r="H23" t="n">
        <v>1</v>
      </c>
    </row>
    <row r="24">
      <c r="A24" s="5" t="n">
        <v>45596</v>
      </c>
      <c r="B24" t="inlineStr">
        <is>
          <t>RO</t>
        </is>
      </c>
      <c r="C24" t="inlineStr">
        <is>
          <t>PL_PREM</t>
        </is>
      </c>
      <c r="D24" t="n">
        <v>38</v>
      </c>
      <c r="E24" t="n">
        <v>20</v>
      </c>
      <c r="F24" t="n">
        <v>15</v>
      </c>
      <c r="G24" t="n">
        <v>1</v>
      </c>
      <c r="H24" t="n">
        <v>2</v>
      </c>
    </row>
    <row r="25">
      <c r="A25" s="5" t="n">
        <v>45596</v>
      </c>
      <c r="B25" t="inlineStr">
        <is>
          <t>RO</t>
        </is>
      </c>
      <c r="C25" t="inlineStr">
        <is>
          <t>PL_STD</t>
        </is>
      </c>
      <c r="D25" t="n">
        <v>88</v>
      </c>
      <c r="E25" t="n">
        <v>44</v>
      </c>
      <c r="F25" t="n">
        <v>29</v>
      </c>
      <c r="G25" t="n">
        <v>8</v>
      </c>
      <c r="H25" t="n">
        <v>7</v>
      </c>
    </row>
    <row r="26">
      <c r="A26" s="5" t="n">
        <v>45626</v>
      </c>
      <c r="B26" t="inlineStr">
        <is>
          <t>CZ</t>
        </is>
      </c>
      <c r="C26" t="inlineStr">
        <is>
          <t>CC_CLASSIC</t>
        </is>
      </c>
      <c r="D26" t="n">
        <v>94</v>
      </c>
      <c r="E26" t="n">
        <v>48</v>
      </c>
      <c r="F26" t="n">
        <v>34</v>
      </c>
      <c r="G26" t="n">
        <v>8</v>
      </c>
      <c r="H26" t="n">
        <v>4</v>
      </c>
    </row>
    <row r="27">
      <c r="A27" s="5" t="n">
        <v>45626</v>
      </c>
      <c r="B27" t="inlineStr">
        <is>
          <t>CZ</t>
        </is>
      </c>
      <c r="C27" t="inlineStr">
        <is>
          <t>CC_GOLD</t>
        </is>
      </c>
      <c r="D27" t="n">
        <v>43</v>
      </c>
      <c r="E27" t="n">
        <v>13</v>
      </c>
      <c r="F27" t="n">
        <v>25</v>
      </c>
      <c r="G27" t="n">
        <v>3</v>
      </c>
      <c r="H27" t="n">
        <v>2</v>
      </c>
    </row>
    <row r="28">
      <c r="A28" s="5" t="n">
        <v>45626</v>
      </c>
      <c r="B28" t="inlineStr">
        <is>
          <t>CZ</t>
        </is>
      </c>
      <c r="C28" t="inlineStr">
        <is>
          <t>PL_PREM</t>
        </is>
      </c>
      <c r="D28" t="n">
        <v>52</v>
      </c>
      <c r="E28" t="n">
        <v>21</v>
      </c>
      <c r="F28" t="n">
        <v>29</v>
      </c>
      <c r="G28" t="n">
        <v>0</v>
      </c>
      <c r="H28" t="n">
        <v>2</v>
      </c>
    </row>
    <row r="29">
      <c r="A29" s="5" t="n">
        <v>45626</v>
      </c>
      <c r="B29" t="inlineStr">
        <is>
          <t>CZ</t>
        </is>
      </c>
      <c r="C29" t="inlineStr">
        <is>
          <t>PL_STD</t>
        </is>
      </c>
      <c r="D29" t="n">
        <v>128</v>
      </c>
      <c r="E29" t="n">
        <v>67</v>
      </c>
      <c r="F29" t="n">
        <v>46</v>
      </c>
      <c r="G29" t="n">
        <v>9</v>
      </c>
      <c r="H29" t="n">
        <v>6</v>
      </c>
    </row>
    <row r="30">
      <c r="A30" s="5" t="n">
        <v>45626</v>
      </c>
      <c r="B30" t="inlineStr">
        <is>
          <t>PL</t>
        </is>
      </c>
      <c r="C30" t="inlineStr">
        <is>
          <t>CC_CLASSIC</t>
        </is>
      </c>
      <c r="D30" t="n">
        <v>132</v>
      </c>
      <c r="E30" t="n">
        <v>69</v>
      </c>
      <c r="F30" t="n">
        <v>45</v>
      </c>
      <c r="G30" t="n">
        <v>6</v>
      </c>
      <c r="H30" t="n">
        <v>12</v>
      </c>
    </row>
    <row r="31">
      <c r="A31" s="5" t="n">
        <v>45626</v>
      </c>
      <c r="B31" t="inlineStr">
        <is>
          <t>PL</t>
        </is>
      </c>
      <c r="C31" t="inlineStr">
        <is>
          <t>CC_GOLD</t>
        </is>
      </c>
      <c r="D31" t="n">
        <v>59</v>
      </c>
      <c r="E31" t="n">
        <v>27</v>
      </c>
      <c r="F31" t="n">
        <v>27</v>
      </c>
      <c r="G31" t="n">
        <v>3</v>
      </c>
      <c r="H31" t="n">
        <v>2</v>
      </c>
    </row>
    <row r="32">
      <c r="A32" s="5" t="n">
        <v>45626</v>
      </c>
      <c r="B32" t="inlineStr">
        <is>
          <t>PL</t>
        </is>
      </c>
      <c r="C32" t="inlineStr">
        <is>
          <t>PL_PREM</t>
        </is>
      </c>
      <c r="D32" t="n">
        <v>51</v>
      </c>
      <c r="E32" t="n">
        <v>24</v>
      </c>
      <c r="F32" t="n">
        <v>20</v>
      </c>
      <c r="G32" t="n">
        <v>6</v>
      </c>
      <c r="H32" t="n">
        <v>1</v>
      </c>
    </row>
    <row r="33">
      <c r="A33" s="5" t="n">
        <v>45626</v>
      </c>
      <c r="B33" t="inlineStr">
        <is>
          <t>PL</t>
        </is>
      </c>
      <c r="C33" t="inlineStr">
        <is>
          <t>PL_STD</t>
        </is>
      </c>
      <c r="D33" t="n">
        <v>149</v>
      </c>
      <c r="E33" t="n">
        <v>77</v>
      </c>
      <c r="F33" t="n">
        <v>55</v>
      </c>
      <c r="G33" t="n">
        <v>10</v>
      </c>
      <c r="H33" t="n">
        <v>7</v>
      </c>
    </row>
    <row r="34">
      <c r="A34" s="5" t="n">
        <v>45626</v>
      </c>
      <c r="B34" t="inlineStr">
        <is>
          <t>RO</t>
        </is>
      </c>
      <c r="C34" t="inlineStr">
        <is>
          <t>CC_CLASSIC</t>
        </is>
      </c>
      <c r="D34" t="n">
        <v>78</v>
      </c>
      <c r="E34" t="n">
        <v>43</v>
      </c>
      <c r="F34" t="n">
        <v>30</v>
      </c>
      <c r="G34" t="n">
        <v>3</v>
      </c>
      <c r="H34" t="n">
        <v>2</v>
      </c>
    </row>
    <row r="35">
      <c r="A35" s="5" t="n">
        <v>45626</v>
      </c>
      <c r="B35" t="inlineStr">
        <is>
          <t>RO</t>
        </is>
      </c>
      <c r="C35" t="inlineStr">
        <is>
          <t>CC_GOLD</t>
        </is>
      </c>
      <c r="D35" t="n">
        <v>24</v>
      </c>
      <c r="E35" t="n">
        <v>8</v>
      </c>
      <c r="F35" t="n">
        <v>15</v>
      </c>
      <c r="G35" t="n">
        <v>1</v>
      </c>
      <c r="H35" t="n">
        <v>0</v>
      </c>
    </row>
    <row r="36">
      <c r="A36" s="5" t="n">
        <v>45626</v>
      </c>
      <c r="B36" t="inlineStr">
        <is>
          <t>RO</t>
        </is>
      </c>
      <c r="C36" t="inlineStr">
        <is>
          <t>PL_PREM</t>
        </is>
      </c>
      <c r="D36" t="n">
        <v>31</v>
      </c>
      <c r="E36" t="n">
        <v>12</v>
      </c>
      <c r="F36" t="n">
        <v>16</v>
      </c>
      <c r="G36" t="n">
        <v>1</v>
      </c>
      <c r="H36" t="n">
        <v>2</v>
      </c>
    </row>
    <row r="37">
      <c r="A37" s="5" t="n">
        <v>45626</v>
      </c>
      <c r="B37" t="inlineStr">
        <is>
          <t>RO</t>
        </is>
      </c>
      <c r="C37" t="inlineStr">
        <is>
          <t>PL_STD</t>
        </is>
      </c>
      <c r="D37" t="n">
        <v>91</v>
      </c>
      <c r="E37" t="n">
        <v>49</v>
      </c>
      <c r="F37" t="n">
        <v>34</v>
      </c>
      <c r="G37" t="n">
        <v>6</v>
      </c>
      <c r="H37" t="n">
        <v>2</v>
      </c>
    </row>
    <row r="38">
      <c r="A38" s="5" t="n">
        <v>45657</v>
      </c>
      <c r="B38" t="inlineStr">
        <is>
          <t>CZ</t>
        </is>
      </c>
      <c r="C38" t="inlineStr">
        <is>
          <t>CC_CLASSIC</t>
        </is>
      </c>
      <c r="D38" t="n">
        <v>110</v>
      </c>
      <c r="E38" t="n">
        <v>67</v>
      </c>
      <c r="F38" t="n">
        <v>36</v>
      </c>
      <c r="G38" t="n">
        <v>5</v>
      </c>
      <c r="H38" t="n">
        <v>2</v>
      </c>
    </row>
    <row r="39">
      <c r="A39" s="5" t="n">
        <v>45657</v>
      </c>
      <c r="B39" t="inlineStr">
        <is>
          <t>CZ</t>
        </is>
      </c>
      <c r="C39" t="inlineStr">
        <is>
          <t>CC_GOLD</t>
        </is>
      </c>
      <c r="D39" t="n">
        <v>30</v>
      </c>
      <c r="E39" t="n">
        <v>7</v>
      </c>
      <c r="F39" t="n">
        <v>20</v>
      </c>
      <c r="G39" t="n">
        <v>2</v>
      </c>
      <c r="H39" t="n">
        <v>1</v>
      </c>
    </row>
    <row r="40">
      <c r="A40" s="5" t="n">
        <v>45657</v>
      </c>
      <c r="B40" t="inlineStr">
        <is>
          <t>CZ</t>
        </is>
      </c>
      <c r="C40" t="inlineStr">
        <is>
          <t>PL_PREM</t>
        </is>
      </c>
      <c r="D40" t="n">
        <v>55</v>
      </c>
      <c r="E40" t="n">
        <v>20</v>
      </c>
      <c r="F40" t="n">
        <v>31</v>
      </c>
      <c r="G40" t="n">
        <v>2</v>
      </c>
      <c r="H40" t="n">
        <v>2</v>
      </c>
    </row>
    <row r="41">
      <c r="A41" s="5" t="n">
        <v>45657</v>
      </c>
      <c r="B41" t="inlineStr">
        <is>
          <t>CZ</t>
        </is>
      </c>
      <c r="C41" t="inlineStr">
        <is>
          <t>PL_STD</t>
        </is>
      </c>
      <c r="D41" t="n">
        <v>116</v>
      </c>
      <c r="E41" t="n">
        <v>63</v>
      </c>
      <c r="F41" t="n">
        <v>36</v>
      </c>
      <c r="G41" t="n">
        <v>10</v>
      </c>
      <c r="H41" t="n">
        <v>7</v>
      </c>
    </row>
    <row r="42">
      <c r="A42" s="5" t="n">
        <v>45657</v>
      </c>
      <c r="B42" t="inlineStr">
        <is>
          <t>PL</t>
        </is>
      </c>
      <c r="C42" t="inlineStr">
        <is>
          <t>CC_CLASSIC</t>
        </is>
      </c>
      <c r="D42" t="n">
        <v>124</v>
      </c>
      <c r="E42" t="n">
        <v>71</v>
      </c>
      <c r="F42" t="n">
        <v>38</v>
      </c>
      <c r="G42" t="n">
        <v>7</v>
      </c>
      <c r="H42" t="n">
        <v>8</v>
      </c>
    </row>
    <row r="43">
      <c r="A43" s="5" t="n">
        <v>45657</v>
      </c>
      <c r="B43" t="inlineStr">
        <is>
          <t>PL</t>
        </is>
      </c>
      <c r="C43" t="inlineStr">
        <is>
          <t>CC_GOLD</t>
        </is>
      </c>
      <c r="D43" t="n">
        <v>49</v>
      </c>
      <c r="E43" t="n">
        <v>24</v>
      </c>
      <c r="F43" t="n">
        <v>19</v>
      </c>
      <c r="G43" t="n">
        <v>3</v>
      </c>
      <c r="H43" t="n">
        <v>3</v>
      </c>
    </row>
    <row r="44">
      <c r="A44" s="5" t="n">
        <v>45657</v>
      </c>
      <c r="B44" t="inlineStr">
        <is>
          <t>PL</t>
        </is>
      </c>
      <c r="C44" t="inlineStr">
        <is>
          <t>PL_PREM</t>
        </is>
      </c>
      <c r="D44" t="n">
        <v>75</v>
      </c>
      <c r="E44" t="n">
        <v>37</v>
      </c>
      <c r="F44" t="n">
        <v>32</v>
      </c>
      <c r="G44" t="n">
        <v>1</v>
      </c>
      <c r="H44" t="n">
        <v>5</v>
      </c>
    </row>
    <row r="45">
      <c r="A45" s="5" t="n">
        <v>45657</v>
      </c>
      <c r="B45" t="inlineStr">
        <is>
          <t>PL</t>
        </is>
      </c>
      <c r="C45" t="inlineStr">
        <is>
          <t>PL_STD</t>
        </is>
      </c>
      <c r="D45" t="n">
        <v>162</v>
      </c>
      <c r="E45" t="n">
        <v>80</v>
      </c>
      <c r="F45" t="n">
        <v>69</v>
      </c>
      <c r="G45" t="n">
        <v>10</v>
      </c>
      <c r="H45" t="n">
        <v>3</v>
      </c>
    </row>
    <row r="46">
      <c r="A46" s="5" t="n">
        <v>45657</v>
      </c>
      <c r="B46" t="inlineStr">
        <is>
          <t>RO</t>
        </is>
      </c>
      <c r="C46" t="inlineStr">
        <is>
          <t>CC_CLASSIC</t>
        </is>
      </c>
      <c r="D46" t="n">
        <v>99</v>
      </c>
      <c r="E46" t="n">
        <v>59</v>
      </c>
      <c r="F46" t="n">
        <v>30</v>
      </c>
      <c r="G46" t="n">
        <v>4</v>
      </c>
      <c r="H46" t="n">
        <v>6</v>
      </c>
    </row>
    <row r="47">
      <c r="A47" s="5" t="n">
        <v>45657</v>
      </c>
      <c r="B47" t="inlineStr">
        <is>
          <t>RO</t>
        </is>
      </c>
      <c r="C47" t="inlineStr">
        <is>
          <t>CC_GOLD</t>
        </is>
      </c>
      <c r="D47" t="n">
        <v>29</v>
      </c>
      <c r="E47" t="n">
        <v>17</v>
      </c>
      <c r="F47" t="n">
        <v>11</v>
      </c>
      <c r="G47" t="n">
        <v>1</v>
      </c>
      <c r="H47" t="n">
        <v>0</v>
      </c>
    </row>
    <row r="48">
      <c r="A48" s="5" t="n">
        <v>45657</v>
      </c>
      <c r="B48" t="inlineStr">
        <is>
          <t>RO</t>
        </is>
      </c>
      <c r="C48" t="inlineStr">
        <is>
          <t>PL_PREM</t>
        </is>
      </c>
      <c r="D48" t="n">
        <v>33</v>
      </c>
      <c r="E48" t="n">
        <v>9</v>
      </c>
      <c r="F48" t="n">
        <v>22</v>
      </c>
      <c r="G48" t="n">
        <v>1</v>
      </c>
      <c r="H48" t="n">
        <v>1</v>
      </c>
    </row>
    <row r="49">
      <c r="A49" s="5" t="n">
        <v>45657</v>
      </c>
      <c r="B49" t="inlineStr">
        <is>
          <t>RO</t>
        </is>
      </c>
      <c r="C49" t="inlineStr">
        <is>
          <t>PL_STD</t>
        </is>
      </c>
      <c r="D49" t="n">
        <v>105</v>
      </c>
      <c r="E49" t="n">
        <v>61</v>
      </c>
      <c r="F49" t="n">
        <v>36</v>
      </c>
      <c r="G49" t="n">
        <v>4</v>
      </c>
      <c r="H49" t="n">
        <v>4</v>
      </c>
    </row>
    <row r="50">
      <c r="A50" s="5" t="n">
        <v>45688</v>
      </c>
      <c r="B50" t="inlineStr">
        <is>
          <t>CZ</t>
        </is>
      </c>
      <c r="C50" t="inlineStr">
        <is>
          <t>CC_CLASSIC</t>
        </is>
      </c>
      <c r="D50" t="n">
        <v>74</v>
      </c>
      <c r="E50" t="n">
        <v>45</v>
      </c>
      <c r="F50" t="n">
        <v>22</v>
      </c>
      <c r="G50" t="n">
        <v>2</v>
      </c>
      <c r="H50" t="n">
        <v>5</v>
      </c>
    </row>
    <row r="51">
      <c r="A51" s="5" t="n">
        <v>45688</v>
      </c>
      <c r="B51" t="inlineStr">
        <is>
          <t>CZ</t>
        </is>
      </c>
      <c r="C51" t="inlineStr">
        <is>
          <t>CC_GOLD</t>
        </is>
      </c>
      <c r="D51" t="n">
        <v>27</v>
      </c>
      <c r="E51" t="n">
        <v>13</v>
      </c>
      <c r="F51" t="n">
        <v>11</v>
      </c>
      <c r="G51" t="n">
        <v>2</v>
      </c>
      <c r="H51" t="n">
        <v>1</v>
      </c>
    </row>
    <row r="52">
      <c r="A52" s="5" t="n">
        <v>45688</v>
      </c>
      <c r="B52" t="inlineStr">
        <is>
          <t>CZ</t>
        </is>
      </c>
      <c r="C52" t="inlineStr">
        <is>
          <t>PL_PREM</t>
        </is>
      </c>
      <c r="D52" t="n">
        <v>33</v>
      </c>
      <c r="E52" t="n">
        <v>16</v>
      </c>
      <c r="F52" t="n">
        <v>13</v>
      </c>
      <c r="G52" t="n">
        <v>2</v>
      </c>
      <c r="H52" t="n">
        <v>2</v>
      </c>
    </row>
    <row r="53">
      <c r="A53" s="5" t="n">
        <v>45688</v>
      </c>
      <c r="B53" t="inlineStr">
        <is>
          <t>CZ</t>
        </is>
      </c>
      <c r="C53" t="inlineStr">
        <is>
          <t>PL_STD</t>
        </is>
      </c>
      <c r="D53" t="n">
        <v>91</v>
      </c>
      <c r="E53" t="n">
        <v>42</v>
      </c>
      <c r="F53" t="n">
        <v>37</v>
      </c>
      <c r="G53" t="n">
        <v>7</v>
      </c>
      <c r="H53" t="n">
        <v>5</v>
      </c>
    </row>
    <row r="54">
      <c r="A54" s="5" t="n">
        <v>45688</v>
      </c>
      <c r="B54" t="inlineStr">
        <is>
          <t>PL</t>
        </is>
      </c>
      <c r="C54" t="inlineStr">
        <is>
          <t>CC_CLASSIC</t>
        </is>
      </c>
      <c r="D54" t="n">
        <v>122</v>
      </c>
      <c r="E54" t="n">
        <v>72</v>
      </c>
      <c r="F54" t="n">
        <v>40</v>
      </c>
      <c r="G54" t="n">
        <v>5</v>
      </c>
      <c r="H54" t="n">
        <v>5</v>
      </c>
    </row>
    <row r="55">
      <c r="A55" s="5" t="n">
        <v>45688</v>
      </c>
      <c r="B55" t="inlineStr">
        <is>
          <t>PL</t>
        </is>
      </c>
      <c r="C55" t="inlineStr">
        <is>
          <t>CC_GOLD</t>
        </is>
      </c>
      <c r="D55" t="n">
        <v>42</v>
      </c>
      <c r="E55" t="n">
        <v>22</v>
      </c>
      <c r="F55" t="n">
        <v>12</v>
      </c>
      <c r="G55" t="n">
        <v>7</v>
      </c>
      <c r="H55" t="n">
        <v>1</v>
      </c>
    </row>
    <row r="56">
      <c r="A56" s="5" t="n">
        <v>45688</v>
      </c>
      <c r="B56" t="inlineStr">
        <is>
          <t>PL</t>
        </is>
      </c>
      <c r="C56" t="inlineStr">
        <is>
          <t>PL_PREM</t>
        </is>
      </c>
      <c r="D56" t="n">
        <v>53</v>
      </c>
      <c r="E56" t="n">
        <v>18</v>
      </c>
      <c r="F56" t="n">
        <v>26</v>
      </c>
      <c r="G56" t="n">
        <v>5</v>
      </c>
      <c r="H56" t="n">
        <v>4</v>
      </c>
    </row>
    <row r="57">
      <c r="A57" s="5" t="n">
        <v>45688</v>
      </c>
      <c r="B57" t="inlineStr">
        <is>
          <t>PL</t>
        </is>
      </c>
      <c r="C57" t="inlineStr">
        <is>
          <t>PL_STD</t>
        </is>
      </c>
      <c r="D57" t="n">
        <v>106</v>
      </c>
      <c r="E57" t="n">
        <v>54</v>
      </c>
      <c r="F57" t="n">
        <v>41</v>
      </c>
      <c r="G57" t="n">
        <v>5</v>
      </c>
      <c r="H57" t="n">
        <v>6</v>
      </c>
    </row>
    <row r="58">
      <c r="A58" s="5" t="n">
        <v>45688</v>
      </c>
      <c r="B58" t="inlineStr">
        <is>
          <t>RO</t>
        </is>
      </c>
      <c r="C58" t="inlineStr">
        <is>
          <t>CC_CLASSIC</t>
        </is>
      </c>
      <c r="D58" t="n">
        <v>45</v>
      </c>
      <c r="E58" t="n">
        <v>24</v>
      </c>
      <c r="F58" t="n">
        <v>15</v>
      </c>
      <c r="G58" t="n">
        <v>2</v>
      </c>
      <c r="H58" t="n">
        <v>4</v>
      </c>
    </row>
    <row r="59">
      <c r="A59" s="5" t="n">
        <v>45688</v>
      </c>
      <c r="B59" t="inlineStr">
        <is>
          <t>RO</t>
        </is>
      </c>
      <c r="C59" t="inlineStr">
        <is>
          <t>CC_GOLD</t>
        </is>
      </c>
      <c r="D59" t="n">
        <v>22</v>
      </c>
      <c r="E59" t="n">
        <v>8</v>
      </c>
      <c r="F59" t="n">
        <v>14</v>
      </c>
      <c r="G59" t="n">
        <v>0</v>
      </c>
      <c r="H59" t="n">
        <v>0</v>
      </c>
    </row>
    <row r="60">
      <c r="A60" s="5" t="n">
        <v>45688</v>
      </c>
      <c r="B60" t="inlineStr">
        <is>
          <t>RO</t>
        </is>
      </c>
      <c r="C60" t="inlineStr">
        <is>
          <t>PL_PREM</t>
        </is>
      </c>
      <c r="D60" t="n">
        <v>28</v>
      </c>
      <c r="E60" t="n">
        <v>11</v>
      </c>
      <c r="F60" t="n">
        <v>14</v>
      </c>
      <c r="G60" t="n">
        <v>1</v>
      </c>
      <c r="H60" t="n">
        <v>2</v>
      </c>
    </row>
    <row r="61">
      <c r="A61" s="5" t="n">
        <v>45688</v>
      </c>
      <c r="B61" t="inlineStr">
        <is>
          <t>RO</t>
        </is>
      </c>
      <c r="C61" t="inlineStr">
        <is>
          <t>PL_STD</t>
        </is>
      </c>
      <c r="D61" t="n">
        <v>68</v>
      </c>
      <c r="E61" t="n">
        <v>40</v>
      </c>
      <c r="F61" t="n">
        <v>24</v>
      </c>
      <c r="G61" t="n">
        <v>1</v>
      </c>
      <c r="H61" t="n">
        <v>3</v>
      </c>
    </row>
    <row r="62">
      <c r="A62" s="5" t="n">
        <v>45716</v>
      </c>
      <c r="B62" t="inlineStr">
        <is>
          <t>CZ</t>
        </is>
      </c>
      <c r="C62" t="inlineStr">
        <is>
          <t>CC_CLASSIC</t>
        </is>
      </c>
      <c r="D62" t="n">
        <v>81</v>
      </c>
      <c r="E62" t="n">
        <v>45</v>
      </c>
      <c r="F62" t="n">
        <v>29</v>
      </c>
      <c r="G62" t="n">
        <v>5</v>
      </c>
      <c r="H62" t="n">
        <v>2</v>
      </c>
    </row>
    <row r="63">
      <c r="A63" s="5" t="n">
        <v>45716</v>
      </c>
      <c r="B63" t="inlineStr">
        <is>
          <t>CZ</t>
        </is>
      </c>
      <c r="C63" t="inlineStr">
        <is>
          <t>CC_GOLD</t>
        </is>
      </c>
      <c r="D63" t="n">
        <v>39</v>
      </c>
      <c r="E63" t="n">
        <v>14</v>
      </c>
      <c r="F63" t="n">
        <v>24</v>
      </c>
      <c r="G63" t="n">
        <v>0</v>
      </c>
      <c r="H63" t="n">
        <v>1</v>
      </c>
    </row>
    <row r="64">
      <c r="A64" s="5" t="n">
        <v>45716</v>
      </c>
      <c r="B64" t="inlineStr">
        <is>
          <t>CZ</t>
        </is>
      </c>
      <c r="C64" t="inlineStr">
        <is>
          <t>PL_PREM</t>
        </is>
      </c>
      <c r="D64" t="n">
        <v>37</v>
      </c>
      <c r="E64" t="n">
        <v>12</v>
      </c>
      <c r="F64" t="n">
        <v>22</v>
      </c>
      <c r="G64" t="n">
        <v>2</v>
      </c>
      <c r="H64" t="n">
        <v>1</v>
      </c>
    </row>
    <row r="65">
      <c r="A65" s="5" t="n">
        <v>45716</v>
      </c>
      <c r="B65" t="inlineStr">
        <is>
          <t>CZ</t>
        </is>
      </c>
      <c r="C65" t="inlineStr">
        <is>
          <t>PL_STD</t>
        </is>
      </c>
      <c r="D65" t="n">
        <v>84</v>
      </c>
      <c r="E65" t="n">
        <v>40</v>
      </c>
      <c r="F65" t="n">
        <v>37</v>
      </c>
      <c r="G65" t="n">
        <v>5</v>
      </c>
      <c r="H65" t="n">
        <v>2</v>
      </c>
    </row>
    <row r="66">
      <c r="A66" s="5" t="n">
        <v>45716</v>
      </c>
      <c r="B66" t="inlineStr">
        <is>
          <t>PL</t>
        </is>
      </c>
      <c r="C66" t="inlineStr">
        <is>
          <t>CC_CLASSIC</t>
        </is>
      </c>
      <c r="D66" t="n">
        <v>100</v>
      </c>
      <c r="E66" t="n">
        <v>54</v>
      </c>
      <c r="F66" t="n">
        <v>35</v>
      </c>
      <c r="G66" t="n">
        <v>5</v>
      </c>
      <c r="H66" t="n">
        <v>6</v>
      </c>
    </row>
    <row r="67">
      <c r="A67" s="5" t="n">
        <v>45716</v>
      </c>
      <c r="B67" t="inlineStr">
        <is>
          <t>PL</t>
        </is>
      </c>
      <c r="C67" t="inlineStr">
        <is>
          <t>CC_GOLD</t>
        </is>
      </c>
      <c r="D67" t="n">
        <v>38</v>
      </c>
      <c r="E67" t="n">
        <v>16</v>
      </c>
      <c r="F67" t="n">
        <v>18</v>
      </c>
      <c r="G67" t="n">
        <v>3</v>
      </c>
      <c r="H67" t="n">
        <v>1</v>
      </c>
    </row>
    <row r="68">
      <c r="A68" s="5" t="n">
        <v>45716</v>
      </c>
      <c r="B68" t="inlineStr">
        <is>
          <t>PL</t>
        </is>
      </c>
      <c r="C68" t="inlineStr">
        <is>
          <t>PL_PREM</t>
        </is>
      </c>
      <c r="D68" t="n">
        <v>63</v>
      </c>
      <c r="E68" t="n">
        <v>26</v>
      </c>
      <c r="F68" t="n">
        <v>35</v>
      </c>
      <c r="G68" t="n">
        <v>1</v>
      </c>
      <c r="H68" t="n">
        <v>1</v>
      </c>
    </row>
    <row r="69">
      <c r="A69" s="5" t="n">
        <v>45716</v>
      </c>
      <c r="B69" t="inlineStr">
        <is>
          <t>PL</t>
        </is>
      </c>
      <c r="C69" t="inlineStr">
        <is>
          <t>PL_STD</t>
        </is>
      </c>
      <c r="D69" t="n">
        <v>116</v>
      </c>
      <c r="E69" t="n">
        <v>63</v>
      </c>
      <c r="F69" t="n">
        <v>42</v>
      </c>
      <c r="G69" t="n">
        <v>6</v>
      </c>
      <c r="H69" t="n">
        <v>5</v>
      </c>
    </row>
    <row r="70">
      <c r="A70" s="5" t="n">
        <v>45716</v>
      </c>
      <c r="B70" t="inlineStr">
        <is>
          <t>RO</t>
        </is>
      </c>
      <c r="C70" t="inlineStr">
        <is>
          <t>CC_CLASSIC</t>
        </is>
      </c>
      <c r="D70" t="n">
        <v>65</v>
      </c>
      <c r="E70" t="n">
        <v>41</v>
      </c>
      <c r="F70" t="n">
        <v>17</v>
      </c>
      <c r="G70" t="n">
        <v>5</v>
      </c>
      <c r="H70" t="n">
        <v>2</v>
      </c>
    </row>
    <row r="71">
      <c r="A71" s="5" t="n">
        <v>45716</v>
      </c>
      <c r="B71" t="inlineStr">
        <is>
          <t>RO</t>
        </is>
      </c>
      <c r="C71" t="inlineStr">
        <is>
          <t>CC_GOLD</t>
        </is>
      </c>
      <c r="D71" t="n">
        <v>22</v>
      </c>
      <c r="E71" t="n">
        <v>4</v>
      </c>
      <c r="F71" t="n">
        <v>17</v>
      </c>
      <c r="G71" t="n">
        <v>0</v>
      </c>
      <c r="H71" t="n">
        <v>1</v>
      </c>
    </row>
    <row r="72">
      <c r="A72" s="5" t="n">
        <v>45716</v>
      </c>
      <c r="B72" t="inlineStr">
        <is>
          <t>RO</t>
        </is>
      </c>
      <c r="C72" t="inlineStr">
        <is>
          <t>PL_PREM</t>
        </is>
      </c>
      <c r="D72" t="n">
        <v>45</v>
      </c>
      <c r="E72" t="n">
        <v>12</v>
      </c>
      <c r="F72" t="n">
        <v>26</v>
      </c>
      <c r="G72" t="n">
        <v>3</v>
      </c>
      <c r="H72" t="n">
        <v>4</v>
      </c>
    </row>
    <row r="73">
      <c r="A73" s="5" t="n">
        <v>45716</v>
      </c>
      <c r="B73" t="inlineStr">
        <is>
          <t>RO</t>
        </is>
      </c>
      <c r="C73" t="inlineStr">
        <is>
          <t>PL_STD</t>
        </is>
      </c>
      <c r="D73" t="n">
        <v>87</v>
      </c>
      <c r="E73" t="n">
        <v>48</v>
      </c>
      <c r="F73" t="n">
        <v>32</v>
      </c>
      <c r="G73" t="n">
        <v>3</v>
      </c>
      <c r="H73" t="n">
        <v>4</v>
      </c>
    </row>
    <row r="74">
      <c r="A74" s="5" t="n">
        <v>45747</v>
      </c>
      <c r="B74" t="inlineStr">
        <is>
          <t>CZ</t>
        </is>
      </c>
      <c r="C74" t="inlineStr">
        <is>
          <t>CC_CLASSIC</t>
        </is>
      </c>
      <c r="D74" t="n">
        <v>84</v>
      </c>
      <c r="E74" t="n">
        <v>47</v>
      </c>
      <c r="F74" t="n">
        <v>29</v>
      </c>
      <c r="G74" t="n">
        <v>4</v>
      </c>
      <c r="H74" t="n">
        <v>4</v>
      </c>
    </row>
    <row r="75">
      <c r="A75" s="5" t="n">
        <v>45747</v>
      </c>
      <c r="B75" t="inlineStr">
        <is>
          <t>CZ</t>
        </is>
      </c>
      <c r="C75" t="inlineStr">
        <is>
          <t>CC_CONSOL</t>
        </is>
      </c>
      <c r="D75" t="n">
        <v>30</v>
      </c>
      <c r="E75" t="n">
        <v>10</v>
      </c>
      <c r="F75" t="n">
        <v>17</v>
      </c>
      <c r="G75" t="n">
        <v>1</v>
      </c>
      <c r="H75" t="n">
        <v>2</v>
      </c>
    </row>
    <row r="76">
      <c r="A76" s="5" t="n">
        <v>45747</v>
      </c>
      <c r="B76" t="inlineStr">
        <is>
          <t>CZ</t>
        </is>
      </c>
      <c r="C76" t="inlineStr">
        <is>
          <t>CC_GOLD</t>
        </is>
      </c>
      <c r="D76" t="n">
        <v>18</v>
      </c>
      <c r="E76" t="n">
        <v>9</v>
      </c>
      <c r="F76" t="n">
        <v>7</v>
      </c>
      <c r="G76" t="n">
        <v>2</v>
      </c>
      <c r="H76" t="n">
        <v>0</v>
      </c>
    </row>
    <row r="77">
      <c r="A77" s="5" t="n">
        <v>45747</v>
      </c>
      <c r="B77" t="inlineStr">
        <is>
          <t>CZ</t>
        </is>
      </c>
      <c r="C77" t="inlineStr">
        <is>
          <t>PL_PREM</t>
        </is>
      </c>
      <c r="D77" t="n">
        <v>42</v>
      </c>
      <c r="E77" t="n">
        <v>17</v>
      </c>
      <c r="F77" t="n">
        <v>20</v>
      </c>
      <c r="G77" t="n">
        <v>4</v>
      </c>
      <c r="H77" t="n">
        <v>1</v>
      </c>
    </row>
    <row r="78">
      <c r="A78" s="5" t="n">
        <v>45747</v>
      </c>
      <c r="B78" t="inlineStr">
        <is>
          <t>CZ</t>
        </is>
      </c>
      <c r="C78" t="inlineStr">
        <is>
          <t>PL_STD</t>
        </is>
      </c>
      <c r="D78" t="n">
        <v>92</v>
      </c>
      <c r="E78" t="n">
        <v>48</v>
      </c>
      <c r="F78" t="n">
        <v>35</v>
      </c>
      <c r="G78" t="n">
        <v>3</v>
      </c>
      <c r="H78" t="n">
        <v>6</v>
      </c>
    </row>
    <row r="79">
      <c r="A79" s="5" t="n">
        <v>45747</v>
      </c>
      <c r="B79" t="inlineStr">
        <is>
          <t>PL</t>
        </is>
      </c>
      <c r="C79" t="inlineStr">
        <is>
          <t>CC_CLASSIC</t>
        </is>
      </c>
      <c r="D79" t="n">
        <v>113</v>
      </c>
      <c r="E79" t="n">
        <v>74</v>
      </c>
      <c r="F79" t="n">
        <v>26</v>
      </c>
      <c r="G79" t="n">
        <v>8</v>
      </c>
      <c r="H79" t="n">
        <v>5</v>
      </c>
    </row>
    <row r="80">
      <c r="A80" s="5" t="n">
        <v>45747</v>
      </c>
      <c r="B80" t="inlineStr">
        <is>
          <t>PL</t>
        </is>
      </c>
      <c r="C80" t="inlineStr">
        <is>
          <t>CC_CONSOL</t>
        </is>
      </c>
      <c r="D80" t="n">
        <v>31</v>
      </c>
      <c r="E80" t="n">
        <v>15</v>
      </c>
      <c r="F80" t="n">
        <v>13</v>
      </c>
      <c r="G80" t="n">
        <v>2</v>
      </c>
      <c r="H80" t="n">
        <v>1</v>
      </c>
    </row>
    <row r="81">
      <c r="A81" s="5" t="n">
        <v>45747</v>
      </c>
      <c r="B81" t="inlineStr">
        <is>
          <t>PL</t>
        </is>
      </c>
      <c r="C81" t="inlineStr">
        <is>
          <t>CC_GOLD</t>
        </is>
      </c>
      <c r="D81" t="n">
        <v>47</v>
      </c>
      <c r="E81" t="n">
        <v>9</v>
      </c>
      <c r="F81" t="n">
        <v>31</v>
      </c>
      <c r="G81" t="n">
        <v>4</v>
      </c>
      <c r="H81" t="n">
        <v>3</v>
      </c>
    </row>
    <row r="82">
      <c r="A82" s="5" t="n">
        <v>45747</v>
      </c>
      <c r="B82" t="inlineStr">
        <is>
          <t>PL</t>
        </is>
      </c>
      <c r="C82" t="inlineStr">
        <is>
          <t>PL_PREM</t>
        </is>
      </c>
      <c r="D82" t="n">
        <v>43</v>
      </c>
      <c r="E82" t="n">
        <v>31</v>
      </c>
      <c r="F82" t="n">
        <v>11</v>
      </c>
      <c r="G82" t="n">
        <v>1</v>
      </c>
      <c r="H82" t="n">
        <v>0</v>
      </c>
    </row>
    <row r="83">
      <c r="A83" s="5" t="n">
        <v>45747</v>
      </c>
      <c r="B83" t="inlineStr">
        <is>
          <t>PL</t>
        </is>
      </c>
      <c r="C83" t="inlineStr">
        <is>
          <t>PL_STD</t>
        </is>
      </c>
      <c r="D83" t="n">
        <v>120</v>
      </c>
      <c r="E83" t="n">
        <v>52</v>
      </c>
      <c r="F83" t="n">
        <v>53</v>
      </c>
      <c r="G83" t="n">
        <v>10</v>
      </c>
      <c r="H83" t="n">
        <v>5</v>
      </c>
    </row>
    <row r="84">
      <c r="A84" s="5" t="n">
        <v>45747</v>
      </c>
      <c r="B84" t="inlineStr">
        <is>
          <t>RO</t>
        </is>
      </c>
      <c r="C84" t="inlineStr">
        <is>
          <t>CC_CLASSIC</t>
        </is>
      </c>
      <c r="D84" t="n">
        <v>58</v>
      </c>
      <c r="E84" t="n">
        <v>33</v>
      </c>
      <c r="F84" t="n">
        <v>19</v>
      </c>
      <c r="G84" t="n">
        <v>4</v>
      </c>
      <c r="H84" t="n">
        <v>2</v>
      </c>
    </row>
    <row r="85">
      <c r="A85" s="5" t="n">
        <v>45747</v>
      </c>
      <c r="B85" t="inlineStr">
        <is>
          <t>RO</t>
        </is>
      </c>
      <c r="C85" t="inlineStr">
        <is>
          <t>CC_CONSOL</t>
        </is>
      </c>
      <c r="D85" t="n">
        <v>26</v>
      </c>
      <c r="E85" t="n">
        <v>11</v>
      </c>
      <c r="F85" t="n">
        <v>14</v>
      </c>
      <c r="G85" t="n">
        <v>1</v>
      </c>
      <c r="H85" t="n">
        <v>0</v>
      </c>
    </row>
    <row r="86">
      <c r="A86" s="5" t="n">
        <v>45747</v>
      </c>
      <c r="B86" t="inlineStr">
        <is>
          <t>RO</t>
        </is>
      </c>
      <c r="C86" t="inlineStr">
        <is>
          <t>CC_GOLD</t>
        </is>
      </c>
      <c r="D86" t="n">
        <v>24</v>
      </c>
      <c r="E86" t="n">
        <v>13</v>
      </c>
      <c r="F86" t="n">
        <v>9</v>
      </c>
      <c r="G86" t="n">
        <v>2</v>
      </c>
      <c r="H86" t="n">
        <v>0</v>
      </c>
    </row>
    <row r="87">
      <c r="A87" s="5" t="n">
        <v>45747</v>
      </c>
      <c r="B87" t="inlineStr">
        <is>
          <t>RO</t>
        </is>
      </c>
      <c r="C87" t="inlineStr">
        <is>
          <t>PL_PREM</t>
        </is>
      </c>
      <c r="D87" t="n">
        <v>30</v>
      </c>
      <c r="E87" t="n">
        <v>13</v>
      </c>
      <c r="F87" t="n">
        <v>14</v>
      </c>
      <c r="G87" t="n">
        <v>1</v>
      </c>
      <c r="H87" t="n">
        <v>2</v>
      </c>
    </row>
    <row r="88">
      <c r="A88" s="5" t="n">
        <v>45747</v>
      </c>
      <c r="B88" t="inlineStr">
        <is>
          <t>RO</t>
        </is>
      </c>
      <c r="C88" t="inlineStr">
        <is>
          <t>PL_STD</t>
        </is>
      </c>
      <c r="D88" t="n">
        <v>77</v>
      </c>
      <c r="E88" t="n">
        <v>45</v>
      </c>
      <c r="F88" t="n">
        <v>20</v>
      </c>
      <c r="G88" t="n">
        <v>5</v>
      </c>
      <c r="H88" t="n">
        <v>7</v>
      </c>
    </row>
    <row r="89">
      <c r="A89" s="5" t="n">
        <v>45777</v>
      </c>
      <c r="B89" t="inlineStr">
        <is>
          <t>CZ</t>
        </is>
      </c>
      <c r="C89" t="inlineStr">
        <is>
          <t>CC_CLASSIC</t>
        </is>
      </c>
      <c r="D89" t="n">
        <v>80</v>
      </c>
      <c r="E89" t="n">
        <v>49</v>
      </c>
      <c r="F89" t="n">
        <v>23</v>
      </c>
      <c r="G89" t="n">
        <v>7</v>
      </c>
      <c r="H89" t="n">
        <v>1</v>
      </c>
    </row>
    <row r="90">
      <c r="A90" s="5" t="n">
        <v>45777</v>
      </c>
      <c r="B90" t="inlineStr">
        <is>
          <t>CZ</t>
        </is>
      </c>
      <c r="C90" t="inlineStr">
        <is>
          <t>CC_CONSOL</t>
        </is>
      </c>
      <c r="D90" t="n">
        <v>24</v>
      </c>
      <c r="E90" t="n">
        <v>11</v>
      </c>
      <c r="F90" t="n">
        <v>11</v>
      </c>
      <c r="G90" t="n">
        <v>1</v>
      </c>
      <c r="H90" t="n">
        <v>1</v>
      </c>
    </row>
    <row r="91">
      <c r="A91" s="5" t="n">
        <v>45777</v>
      </c>
      <c r="B91" t="inlineStr">
        <is>
          <t>CZ</t>
        </is>
      </c>
      <c r="C91" t="inlineStr">
        <is>
          <t>CC_GOLD</t>
        </is>
      </c>
      <c r="D91" t="n">
        <v>34</v>
      </c>
      <c r="E91" t="n">
        <v>12</v>
      </c>
      <c r="F91" t="n">
        <v>17</v>
      </c>
      <c r="G91" t="n">
        <v>2</v>
      </c>
      <c r="H91" t="n">
        <v>3</v>
      </c>
    </row>
    <row r="92">
      <c r="A92" s="5" t="n">
        <v>45777</v>
      </c>
      <c r="B92" t="inlineStr">
        <is>
          <t>CZ</t>
        </is>
      </c>
      <c r="C92" t="inlineStr">
        <is>
          <t>PL_PREM</t>
        </is>
      </c>
      <c r="D92" t="n">
        <v>35</v>
      </c>
      <c r="E92" t="n">
        <v>17</v>
      </c>
      <c r="F92" t="n">
        <v>14</v>
      </c>
      <c r="G92" t="n">
        <v>3</v>
      </c>
      <c r="H92" t="n">
        <v>1</v>
      </c>
    </row>
    <row r="93">
      <c r="A93" s="5" t="n">
        <v>45777</v>
      </c>
      <c r="B93" t="inlineStr">
        <is>
          <t>CZ</t>
        </is>
      </c>
      <c r="C93" t="inlineStr">
        <is>
          <t>PL_STD</t>
        </is>
      </c>
      <c r="D93" t="n">
        <v>90</v>
      </c>
      <c r="E93" t="n">
        <v>53</v>
      </c>
      <c r="F93" t="n">
        <v>30</v>
      </c>
      <c r="G93" t="n">
        <v>3</v>
      </c>
      <c r="H93" t="n">
        <v>4</v>
      </c>
    </row>
    <row r="94">
      <c r="A94" s="5" t="n">
        <v>45777</v>
      </c>
      <c r="B94" t="inlineStr">
        <is>
          <t>PL</t>
        </is>
      </c>
      <c r="C94" t="inlineStr">
        <is>
          <t>CC_CLASSIC</t>
        </is>
      </c>
      <c r="D94" t="n">
        <v>110</v>
      </c>
      <c r="E94" t="n">
        <v>57</v>
      </c>
      <c r="F94" t="n">
        <v>38</v>
      </c>
      <c r="G94" t="n">
        <v>7</v>
      </c>
      <c r="H94" t="n">
        <v>8</v>
      </c>
    </row>
    <row r="95">
      <c r="A95" s="5" t="n">
        <v>45777</v>
      </c>
      <c r="B95" t="inlineStr">
        <is>
          <t>PL</t>
        </is>
      </c>
      <c r="C95" t="inlineStr">
        <is>
          <t>CC_CONSOL</t>
        </is>
      </c>
      <c r="D95" t="n">
        <v>28</v>
      </c>
      <c r="E95" t="n">
        <v>12</v>
      </c>
      <c r="F95" t="n">
        <v>15</v>
      </c>
      <c r="G95" t="n">
        <v>1</v>
      </c>
      <c r="H95" t="n">
        <v>0</v>
      </c>
    </row>
    <row r="96">
      <c r="A96" s="5" t="n">
        <v>45777</v>
      </c>
      <c r="B96" t="inlineStr">
        <is>
          <t>PL</t>
        </is>
      </c>
      <c r="C96" t="inlineStr">
        <is>
          <t>CC_GOLD</t>
        </is>
      </c>
      <c r="D96" t="n">
        <v>39</v>
      </c>
      <c r="E96" t="n">
        <v>18</v>
      </c>
      <c r="F96" t="n">
        <v>19</v>
      </c>
      <c r="G96" t="n">
        <v>0</v>
      </c>
      <c r="H96" t="n">
        <v>2</v>
      </c>
    </row>
    <row r="97">
      <c r="A97" s="5" t="n">
        <v>45777</v>
      </c>
      <c r="B97" t="inlineStr">
        <is>
          <t>PL</t>
        </is>
      </c>
      <c r="C97" t="inlineStr">
        <is>
          <t>PL_PREM</t>
        </is>
      </c>
      <c r="D97" t="n">
        <v>48</v>
      </c>
      <c r="E97" t="n">
        <v>26</v>
      </c>
      <c r="F97" t="n">
        <v>17</v>
      </c>
      <c r="G97" t="n">
        <v>1</v>
      </c>
      <c r="H97" t="n">
        <v>4</v>
      </c>
    </row>
    <row r="98">
      <c r="A98" s="5" t="n">
        <v>45777</v>
      </c>
      <c r="B98" t="inlineStr">
        <is>
          <t>PL</t>
        </is>
      </c>
      <c r="C98" t="inlineStr">
        <is>
          <t>PL_STD</t>
        </is>
      </c>
      <c r="D98" t="n">
        <v>119</v>
      </c>
      <c r="E98" t="n">
        <v>71</v>
      </c>
      <c r="F98" t="n">
        <v>37</v>
      </c>
      <c r="G98" t="n">
        <v>6</v>
      </c>
      <c r="H98" t="n">
        <v>5</v>
      </c>
    </row>
    <row r="99">
      <c r="A99" s="5" t="n">
        <v>45777</v>
      </c>
      <c r="B99" t="inlineStr">
        <is>
          <t>RO</t>
        </is>
      </c>
      <c r="C99" t="inlineStr">
        <is>
          <t>CC_CLASSIC</t>
        </is>
      </c>
      <c r="D99" t="n">
        <v>65</v>
      </c>
      <c r="E99" t="n">
        <v>35</v>
      </c>
      <c r="F99" t="n">
        <v>23</v>
      </c>
      <c r="G99" t="n">
        <v>3</v>
      </c>
      <c r="H99" t="n">
        <v>4</v>
      </c>
    </row>
    <row r="100">
      <c r="A100" s="5" t="n">
        <v>45777</v>
      </c>
      <c r="B100" t="inlineStr">
        <is>
          <t>RO</t>
        </is>
      </c>
      <c r="C100" t="inlineStr">
        <is>
          <t>CC_CONSOL</t>
        </is>
      </c>
      <c r="D100" t="n">
        <v>27</v>
      </c>
      <c r="E100" t="n">
        <v>18</v>
      </c>
      <c r="F100" t="n">
        <v>7</v>
      </c>
      <c r="G100" t="n">
        <v>2</v>
      </c>
      <c r="H100" t="n">
        <v>0</v>
      </c>
    </row>
    <row r="101">
      <c r="A101" s="5" t="n">
        <v>45777</v>
      </c>
      <c r="B101" t="inlineStr">
        <is>
          <t>RO</t>
        </is>
      </c>
      <c r="C101" t="inlineStr">
        <is>
          <t>CC_GOLD</t>
        </is>
      </c>
      <c r="D101" t="n">
        <v>28</v>
      </c>
      <c r="E101" t="n">
        <v>11</v>
      </c>
      <c r="F101" t="n">
        <v>15</v>
      </c>
      <c r="G101" t="n">
        <v>1</v>
      </c>
      <c r="H101" t="n">
        <v>1</v>
      </c>
    </row>
    <row r="102">
      <c r="A102" s="5" t="n">
        <v>45777</v>
      </c>
      <c r="B102" t="inlineStr">
        <is>
          <t>RO</t>
        </is>
      </c>
      <c r="C102" t="inlineStr">
        <is>
          <t>PL_PREM</t>
        </is>
      </c>
      <c r="D102" t="n">
        <v>33</v>
      </c>
      <c r="E102" t="n">
        <v>11</v>
      </c>
      <c r="F102" t="n">
        <v>22</v>
      </c>
      <c r="G102" t="n">
        <v>0</v>
      </c>
      <c r="H102" t="n">
        <v>0</v>
      </c>
    </row>
    <row r="103">
      <c r="A103" s="5" t="n">
        <v>45777</v>
      </c>
      <c r="B103" t="inlineStr">
        <is>
          <t>RO</t>
        </is>
      </c>
      <c r="C103" t="inlineStr">
        <is>
          <t>PL_STD</t>
        </is>
      </c>
      <c r="D103" t="n">
        <v>84</v>
      </c>
      <c r="E103" t="n">
        <v>47</v>
      </c>
      <c r="F103" t="n">
        <v>30</v>
      </c>
      <c r="G103" t="n">
        <v>5</v>
      </c>
      <c r="H103" t="n">
        <v>2</v>
      </c>
    </row>
    <row r="104">
      <c r="A104" s="5" t="n">
        <v>45808</v>
      </c>
      <c r="B104" t="inlineStr">
        <is>
          <t>CZ</t>
        </is>
      </c>
      <c r="C104" t="inlineStr">
        <is>
          <t>CC_CLASSIC</t>
        </is>
      </c>
      <c r="D104" t="n">
        <v>79</v>
      </c>
      <c r="E104" t="n">
        <v>50</v>
      </c>
      <c r="F104" t="n">
        <v>23</v>
      </c>
      <c r="G104" t="n">
        <v>5</v>
      </c>
      <c r="H104" t="n">
        <v>1</v>
      </c>
    </row>
    <row r="105">
      <c r="A105" s="5" t="n">
        <v>45808</v>
      </c>
      <c r="B105" t="inlineStr">
        <is>
          <t>CZ</t>
        </is>
      </c>
      <c r="C105" t="inlineStr">
        <is>
          <t>CC_CONSOL</t>
        </is>
      </c>
      <c r="D105" t="n">
        <v>40</v>
      </c>
      <c r="E105" t="n">
        <v>20</v>
      </c>
      <c r="F105" t="n">
        <v>16</v>
      </c>
      <c r="G105" t="n">
        <v>3</v>
      </c>
      <c r="H105" t="n">
        <v>1</v>
      </c>
    </row>
    <row r="106">
      <c r="A106" s="5" t="n">
        <v>45808</v>
      </c>
      <c r="B106" t="inlineStr">
        <is>
          <t>CZ</t>
        </is>
      </c>
      <c r="C106" t="inlineStr">
        <is>
          <t>CC_GOLD</t>
        </is>
      </c>
      <c r="D106" t="n">
        <v>32</v>
      </c>
      <c r="E106" t="n">
        <v>11</v>
      </c>
      <c r="F106" t="n">
        <v>16</v>
      </c>
      <c r="G106" t="n">
        <v>2</v>
      </c>
      <c r="H106" t="n">
        <v>3</v>
      </c>
    </row>
    <row r="107">
      <c r="A107" s="5" t="n">
        <v>45808</v>
      </c>
      <c r="B107" t="inlineStr">
        <is>
          <t>CZ</t>
        </is>
      </c>
      <c r="C107" t="inlineStr">
        <is>
          <t>PL_PREM</t>
        </is>
      </c>
      <c r="D107" t="n">
        <v>28</v>
      </c>
      <c r="E107" t="n">
        <v>13</v>
      </c>
      <c r="F107" t="n">
        <v>11</v>
      </c>
      <c r="G107" t="n">
        <v>1</v>
      </c>
      <c r="H107" t="n">
        <v>3</v>
      </c>
    </row>
    <row r="108">
      <c r="A108" s="5" t="n">
        <v>45808</v>
      </c>
      <c r="B108" t="inlineStr">
        <is>
          <t>CZ</t>
        </is>
      </c>
      <c r="C108" t="inlineStr">
        <is>
          <t>PL_STD</t>
        </is>
      </c>
      <c r="D108" t="n">
        <v>104</v>
      </c>
      <c r="E108" t="n">
        <v>57</v>
      </c>
      <c r="F108" t="n">
        <v>39</v>
      </c>
      <c r="G108" t="n">
        <v>5</v>
      </c>
      <c r="H108" t="n">
        <v>3</v>
      </c>
    </row>
    <row r="109">
      <c r="A109" s="5" t="n">
        <v>45808</v>
      </c>
      <c r="B109" t="inlineStr">
        <is>
          <t>PL</t>
        </is>
      </c>
      <c r="C109" t="inlineStr">
        <is>
          <t>CC_CLASSIC</t>
        </is>
      </c>
      <c r="D109" t="n">
        <v>112</v>
      </c>
      <c r="E109" t="n">
        <v>69</v>
      </c>
      <c r="F109" t="n">
        <v>34</v>
      </c>
      <c r="G109" t="n">
        <v>6</v>
      </c>
      <c r="H109" t="n">
        <v>3</v>
      </c>
    </row>
    <row r="110">
      <c r="A110" s="5" t="n">
        <v>45808</v>
      </c>
      <c r="B110" t="inlineStr">
        <is>
          <t>PL</t>
        </is>
      </c>
      <c r="C110" t="inlineStr">
        <is>
          <t>CC_CONSOL</t>
        </is>
      </c>
      <c r="D110" t="n">
        <v>38</v>
      </c>
      <c r="E110" t="n">
        <v>22</v>
      </c>
      <c r="F110" t="n">
        <v>11</v>
      </c>
      <c r="G110" t="n">
        <v>3</v>
      </c>
      <c r="H110" t="n">
        <v>2</v>
      </c>
    </row>
    <row r="111">
      <c r="A111" s="5" t="n">
        <v>45808</v>
      </c>
      <c r="B111" t="inlineStr">
        <is>
          <t>PL</t>
        </is>
      </c>
      <c r="C111" t="inlineStr">
        <is>
          <t>CC_GOLD</t>
        </is>
      </c>
      <c r="D111" t="n">
        <v>43</v>
      </c>
      <c r="E111" t="n">
        <v>13</v>
      </c>
      <c r="F111" t="n">
        <v>29</v>
      </c>
      <c r="G111" t="n">
        <v>1</v>
      </c>
      <c r="H111" t="n">
        <v>0</v>
      </c>
    </row>
    <row r="112">
      <c r="A112" s="5" t="n">
        <v>45808</v>
      </c>
      <c r="B112" t="inlineStr">
        <is>
          <t>PL</t>
        </is>
      </c>
      <c r="C112" t="inlineStr">
        <is>
          <t>PL_PREM</t>
        </is>
      </c>
      <c r="D112" t="n">
        <v>62</v>
      </c>
      <c r="E112" t="n">
        <v>24</v>
      </c>
      <c r="F112" t="n">
        <v>34</v>
      </c>
      <c r="G112" t="n">
        <v>2</v>
      </c>
      <c r="H112" t="n">
        <v>2</v>
      </c>
    </row>
    <row r="113">
      <c r="A113" s="5" t="n">
        <v>45808</v>
      </c>
      <c r="B113" t="inlineStr">
        <is>
          <t>PL</t>
        </is>
      </c>
      <c r="C113" t="inlineStr">
        <is>
          <t>PL_STD</t>
        </is>
      </c>
      <c r="D113" t="n">
        <v>137</v>
      </c>
      <c r="E113" t="n">
        <v>69</v>
      </c>
      <c r="F113" t="n">
        <v>51</v>
      </c>
      <c r="G113" t="n">
        <v>11</v>
      </c>
      <c r="H113" t="n">
        <v>6</v>
      </c>
    </row>
    <row r="114">
      <c r="A114" s="5" t="n">
        <v>45808</v>
      </c>
      <c r="B114" t="inlineStr">
        <is>
          <t>RO</t>
        </is>
      </c>
      <c r="C114" t="inlineStr">
        <is>
          <t>CC_CLASSIC</t>
        </is>
      </c>
      <c r="D114" t="n">
        <v>74</v>
      </c>
      <c r="E114" t="n">
        <v>37</v>
      </c>
      <c r="F114" t="n">
        <v>27</v>
      </c>
      <c r="G114" t="n">
        <v>8</v>
      </c>
      <c r="H114" t="n">
        <v>2</v>
      </c>
    </row>
    <row r="115">
      <c r="A115" s="5" t="n">
        <v>45808</v>
      </c>
      <c r="B115" t="inlineStr">
        <is>
          <t>RO</t>
        </is>
      </c>
      <c r="C115" t="inlineStr">
        <is>
          <t>CC_CONSOL</t>
        </is>
      </c>
      <c r="D115" t="n">
        <v>15</v>
      </c>
      <c r="E115" t="n">
        <v>3</v>
      </c>
      <c r="F115" t="n">
        <v>11</v>
      </c>
      <c r="G115" t="n">
        <v>1</v>
      </c>
      <c r="H115" t="n">
        <v>0</v>
      </c>
    </row>
    <row r="116">
      <c r="A116" s="5" t="n">
        <v>45808</v>
      </c>
      <c r="B116" t="inlineStr">
        <is>
          <t>RO</t>
        </is>
      </c>
      <c r="C116" t="inlineStr">
        <is>
          <t>CC_GOLD</t>
        </is>
      </c>
      <c r="D116" t="n">
        <v>24</v>
      </c>
      <c r="E116" t="n">
        <v>9</v>
      </c>
      <c r="F116" t="n">
        <v>10</v>
      </c>
      <c r="G116" t="n">
        <v>1</v>
      </c>
      <c r="H116" t="n">
        <v>4</v>
      </c>
    </row>
    <row r="117">
      <c r="A117" s="5" t="n">
        <v>45808</v>
      </c>
      <c r="B117" t="inlineStr">
        <is>
          <t>RO</t>
        </is>
      </c>
      <c r="C117" t="inlineStr">
        <is>
          <t>PL_PREM</t>
        </is>
      </c>
      <c r="D117" t="n">
        <v>32</v>
      </c>
      <c r="E117" t="n">
        <v>13</v>
      </c>
      <c r="F117" t="n">
        <v>16</v>
      </c>
      <c r="G117" t="n">
        <v>3</v>
      </c>
      <c r="H117" t="n">
        <v>0</v>
      </c>
    </row>
    <row r="118">
      <c r="A118" s="5" t="n">
        <v>45808</v>
      </c>
      <c r="B118" t="inlineStr">
        <is>
          <t>RO</t>
        </is>
      </c>
      <c r="C118" t="inlineStr">
        <is>
          <t>PL_STD</t>
        </is>
      </c>
      <c r="D118" t="n">
        <v>74</v>
      </c>
      <c r="E118" t="n">
        <v>38</v>
      </c>
      <c r="F118" t="n">
        <v>32</v>
      </c>
      <c r="G118" t="n">
        <v>2</v>
      </c>
      <c r="H118" t="n">
        <v>2</v>
      </c>
    </row>
    <row r="119">
      <c r="A119" s="5" t="n">
        <v>45838</v>
      </c>
      <c r="B119" t="inlineStr">
        <is>
          <t>CZ</t>
        </is>
      </c>
      <c r="C119" t="inlineStr">
        <is>
          <t>CC_CLASSIC</t>
        </is>
      </c>
      <c r="D119" t="n">
        <v>89</v>
      </c>
      <c r="E119" t="n">
        <v>51</v>
      </c>
      <c r="F119" t="n">
        <v>29</v>
      </c>
      <c r="G119" t="n">
        <v>3</v>
      </c>
      <c r="H119" t="n">
        <v>6</v>
      </c>
    </row>
    <row r="120">
      <c r="A120" s="5" t="n">
        <v>45838</v>
      </c>
      <c r="B120" t="inlineStr">
        <is>
          <t>CZ</t>
        </is>
      </c>
      <c r="C120" t="inlineStr">
        <is>
          <t>CC_CONSOL</t>
        </is>
      </c>
      <c r="D120" t="n">
        <v>22</v>
      </c>
      <c r="E120" t="n">
        <v>10</v>
      </c>
      <c r="F120" t="n">
        <v>11</v>
      </c>
      <c r="G120" t="n">
        <v>0</v>
      </c>
      <c r="H120" t="n">
        <v>1</v>
      </c>
    </row>
    <row r="121">
      <c r="A121" s="5" t="n">
        <v>45838</v>
      </c>
      <c r="B121" t="inlineStr">
        <is>
          <t>CZ</t>
        </is>
      </c>
      <c r="C121" t="inlineStr">
        <is>
          <t>CC_GOLD</t>
        </is>
      </c>
      <c r="D121" t="n">
        <v>31</v>
      </c>
      <c r="E121" t="n">
        <v>15</v>
      </c>
      <c r="F121" t="n">
        <v>16</v>
      </c>
      <c r="G121" t="n">
        <v>0</v>
      </c>
      <c r="H121" t="n">
        <v>0</v>
      </c>
    </row>
    <row r="122">
      <c r="A122" s="5" t="n">
        <v>45838</v>
      </c>
      <c r="B122" t="inlineStr">
        <is>
          <t>CZ</t>
        </is>
      </c>
      <c r="C122" t="inlineStr">
        <is>
          <t>PL_PREM</t>
        </is>
      </c>
      <c r="D122" t="n">
        <v>39</v>
      </c>
      <c r="E122" t="n">
        <v>20</v>
      </c>
      <c r="F122" t="n">
        <v>15</v>
      </c>
      <c r="G122" t="n">
        <v>3</v>
      </c>
      <c r="H122" t="n">
        <v>1</v>
      </c>
    </row>
    <row r="123">
      <c r="A123" s="5" t="n">
        <v>45838</v>
      </c>
      <c r="B123" t="inlineStr">
        <is>
          <t>CZ</t>
        </is>
      </c>
      <c r="C123" t="inlineStr">
        <is>
          <t>PL_STD</t>
        </is>
      </c>
      <c r="D123" t="n">
        <v>111</v>
      </c>
      <c r="E123" t="n">
        <v>62</v>
      </c>
      <c r="F123" t="n">
        <v>36</v>
      </c>
      <c r="G123" t="n">
        <v>6</v>
      </c>
      <c r="H123" t="n">
        <v>7</v>
      </c>
    </row>
    <row r="124">
      <c r="A124" s="5" t="n">
        <v>45838</v>
      </c>
      <c r="B124" t="inlineStr">
        <is>
          <t>PL</t>
        </is>
      </c>
      <c r="C124" t="inlineStr">
        <is>
          <t>CC_CLASSIC</t>
        </is>
      </c>
      <c r="D124" t="n">
        <v>106</v>
      </c>
      <c r="E124" t="n">
        <v>62</v>
      </c>
      <c r="F124" t="n">
        <v>38</v>
      </c>
      <c r="G124" t="n">
        <v>3</v>
      </c>
      <c r="H124" t="n">
        <v>3</v>
      </c>
    </row>
    <row r="125">
      <c r="A125" s="5" t="n">
        <v>45838</v>
      </c>
      <c r="B125" t="inlineStr">
        <is>
          <t>PL</t>
        </is>
      </c>
      <c r="C125" t="inlineStr">
        <is>
          <t>CC_CONSOL</t>
        </is>
      </c>
      <c r="D125" t="n">
        <v>35</v>
      </c>
      <c r="E125" t="n">
        <v>18</v>
      </c>
      <c r="F125" t="n">
        <v>11</v>
      </c>
      <c r="G125" t="n">
        <v>3</v>
      </c>
      <c r="H125" t="n">
        <v>3</v>
      </c>
    </row>
    <row r="126">
      <c r="A126" s="5" t="n">
        <v>45838</v>
      </c>
      <c r="B126" t="inlineStr">
        <is>
          <t>PL</t>
        </is>
      </c>
      <c r="C126" t="inlineStr">
        <is>
          <t>CC_GOLD</t>
        </is>
      </c>
      <c r="D126" t="n">
        <v>43</v>
      </c>
      <c r="E126" t="n">
        <v>14</v>
      </c>
      <c r="F126" t="n">
        <v>24</v>
      </c>
      <c r="G126" t="n">
        <v>3</v>
      </c>
      <c r="H126" t="n">
        <v>2</v>
      </c>
    </row>
    <row r="127">
      <c r="A127" s="5" t="n">
        <v>45838</v>
      </c>
      <c r="B127" t="inlineStr">
        <is>
          <t>PL</t>
        </is>
      </c>
      <c r="C127" t="inlineStr">
        <is>
          <t>PL_PREM</t>
        </is>
      </c>
      <c r="D127" t="n">
        <v>42</v>
      </c>
      <c r="E127" t="n">
        <v>16</v>
      </c>
      <c r="F127" t="n">
        <v>15</v>
      </c>
      <c r="G127" t="n">
        <v>4</v>
      </c>
      <c r="H127" t="n">
        <v>7</v>
      </c>
    </row>
    <row r="128">
      <c r="A128" s="5" t="n">
        <v>45838</v>
      </c>
      <c r="B128" t="inlineStr">
        <is>
          <t>PL</t>
        </is>
      </c>
      <c r="C128" t="inlineStr">
        <is>
          <t>PL_STD</t>
        </is>
      </c>
      <c r="D128" t="n">
        <v>125</v>
      </c>
      <c r="E128" t="n">
        <v>67</v>
      </c>
      <c r="F128" t="n">
        <v>47</v>
      </c>
      <c r="G128" t="n">
        <v>10</v>
      </c>
      <c r="H128" t="n">
        <v>1</v>
      </c>
    </row>
    <row r="129">
      <c r="A129" s="5" t="n">
        <v>45838</v>
      </c>
      <c r="B129" t="inlineStr">
        <is>
          <t>RO</t>
        </is>
      </c>
      <c r="C129" t="inlineStr">
        <is>
          <t>CC_CLASSIC</t>
        </is>
      </c>
      <c r="D129" t="n">
        <v>69</v>
      </c>
      <c r="E129" t="n">
        <v>43</v>
      </c>
      <c r="F129" t="n">
        <v>19</v>
      </c>
      <c r="G129" t="n">
        <v>5</v>
      </c>
      <c r="H129" t="n">
        <v>2</v>
      </c>
    </row>
    <row r="130">
      <c r="A130" s="5" t="n">
        <v>45838</v>
      </c>
      <c r="B130" t="inlineStr">
        <is>
          <t>RO</t>
        </is>
      </c>
      <c r="C130" t="inlineStr">
        <is>
          <t>CC_CONSOL</t>
        </is>
      </c>
      <c r="D130" t="n">
        <v>20</v>
      </c>
      <c r="E130" t="n">
        <v>10</v>
      </c>
      <c r="F130" t="n">
        <v>9</v>
      </c>
      <c r="G130" t="n">
        <v>1</v>
      </c>
      <c r="H130" t="n">
        <v>0</v>
      </c>
    </row>
    <row r="131">
      <c r="A131" s="5" t="n">
        <v>45838</v>
      </c>
      <c r="B131" t="inlineStr">
        <is>
          <t>RO</t>
        </is>
      </c>
      <c r="C131" t="inlineStr">
        <is>
          <t>CC_GOLD</t>
        </is>
      </c>
      <c r="D131" t="n">
        <v>29</v>
      </c>
      <c r="E131" t="n">
        <v>13</v>
      </c>
      <c r="F131" t="n">
        <v>14</v>
      </c>
      <c r="G131" t="n">
        <v>2</v>
      </c>
      <c r="H131" t="n">
        <v>0</v>
      </c>
    </row>
    <row r="132">
      <c r="A132" s="5" t="n">
        <v>45838</v>
      </c>
      <c r="B132" t="inlineStr">
        <is>
          <t>RO</t>
        </is>
      </c>
      <c r="C132" t="inlineStr">
        <is>
          <t>PL_PREM</t>
        </is>
      </c>
      <c r="D132" t="n">
        <v>36</v>
      </c>
      <c r="E132" t="n">
        <v>17</v>
      </c>
      <c r="F132" t="n">
        <v>16</v>
      </c>
      <c r="G132" t="n">
        <v>2</v>
      </c>
      <c r="H132" t="n">
        <v>1</v>
      </c>
    </row>
    <row r="133">
      <c r="A133" s="5" t="n">
        <v>45838</v>
      </c>
      <c r="B133" t="inlineStr">
        <is>
          <t>RO</t>
        </is>
      </c>
      <c r="C133" t="inlineStr">
        <is>
          <t>PL_STD</t>
        </is>
      </c>
      <c r="D133" t="n">
        <v>81</v>
      </c>
      <c r="E133" t="n">
        <v>41</v>
      </c>
      <c r="F133" t="n">
        <v>32</v>
      </c>
      <c r="G133" t="n">
        <v>4</v>
      </c>
      <c r="H133" t="n">
        <v>4</v>
      </c>
    </row>
    <row r="134">
      <c r="A134" s="5" t="n">
        <v>45869</v>
      </c>
      <c r="B134" t="inlineStr">
        <is>
          <t>CZ</t>
        </is>
      </c>
      <c r="C134" t="inlineStr">
        <is>
          <t>CC_CLASSIC</t>
        </is>
      </c>
      <c r="D134" t="n">
        <v>66</v>
      </c>
      <c r="E134" t="n">
        <v>35</v>
      </c>
      <c r="F134" t="n">
        <v>25</v>
      </c>
      <c r="G134" t="n">
        <v>5</v>
      </c>
      <c r="H134" t="n">
        <v>1</v>
      </c>
    </row>
    <row r="135">
      <c r="A135" s="5" t="n">
        <v>45869</v>
      </c>
      <c r="B135" t="inlineStr">
        <is>
          <t>CZ</t>
        </is>
      </c>
      <c r="C135" t="inlineStr">
        <is>
          <t>CC_CONSOL</t>
        </is>
      </c>
      <c r="D135" t="n">
        <v>24</v>
      </c>
      <c r="E135" t="n">
        <v>16</v>
      </c>
      <c r="F135" t="n">
        <v>6</v>
      </c>
      <c r="G135" t="n">
        <v>1</v>
      </c>
      <c r="H135" t="n">
        <v>1</v>
      </c>
    </row>
    <row r="136">
      <c r="A136" s="5" t="n">
        <v>45869</v>
      </c>
      <c r="B136" t="inlineStr">
        <is>
          <t>CZ</t>
        </is>
      </c>
      <c r="C136" t="inlineStr">
        <is>
          <t>CC_GOLD</t>
        </is>
      </c>
      <c r="D136" t="n">
        <v>41</v>
      </c>
      <c r="E136" t="n">
        <v>12</v>
      </c>
      <c r="F136" t="n">
        <v>24</v>
      </c>
      <c r="G136" t="n">
        <v>1</v>
      </c>
      <c r="H136" t="n">
        <v>4</v>
      </c>
    </row>
    <row r="137">
      <c r="A137" s="5" t="n">
        <v>45869</v>
      </c>
      <c r="B137" t="inlineStr">
        <is>
          <t>CZ</t>
        </is>
      </c>
      <c r="C137" t="inlineStr">
        <is>
          <t>PL_PREM</t>
        </is>
      </c>
      <c r="D137" t="n">
        <v>34</v>
      </c>
      <c r="E137" t="n">
        <v>13</v>
      </c>
      <c r="F137" t="n">
        <v>17</v>
      </c>
      <c r="G137" t="n">
        <v>4</v>
      </c>
      <c r="H137" t="n">
        <v>0</v>
      </c>
    </row>
    <row r="138">
      <c r="A138" s="5" t="n">
        <v>45869</v>
      </c>
      <c r="B138" t="inlineStr">
        <is>
          <t>CZ</t>
        </is>
      </c>
      <c r="C138" t="inlineStr">
        <is>
          <t>PL_STD</t>
        </is>
      </c>
      <c r="D138" t="n">
        <v>102</v>
      </c>
      <c r="E138" t="n">
        <v>55</v>
      </c>
      <c r="F138" t="n">
        <v>39</v>
      </c>
      <c r="G138" t="n">
        <v>4</v>
      </c>
      <c r="H138" t="n">
        <v>4</v>
      </c>
    </row>
    <row r="139">
      <c r="A139" s="5" t="n">
        <v>45869</v>
      </c>
      <c r="B139" t="inlineStr">
        <is>
          <t>PL</t>
        </is>
      </c>
      <c r="C139" t="inlineStr">
        <is>
          <t>CC_CLASSIC</t>
        </is>
      </c>
      <c r="D139" t="n">
        <v>102</v>
      </c>
      <c r="E139" t="n">
        <v>54</v>
      </c>
      <c r="F139" t="n">
        <v>39</v>
      </c>
      <c r="G139" t="n">
        <v>5</v>
      </c>
      <c r="H139" t="n">
        <v>4</v>
      </c>
    </row>
    <row r="140">
      <c r="A140" s="5" t="n">
        <v>45869</v>
      </c>
      <c r="B140" t="inlineStr">
        <is>
          <t>PL</t>
        </is>
      </c>
      <c r="C140" t="inlineStr">
        <is>
          <t>CC_CONSOL</t>
        </is>
      </c>
      <c r="D140" t="n">
        <v>43</v>
      </c>
      <c r="E140" t="n">
        <v>21</v>
      </c>
      <c r="F140" t="n">
        <v>17</v>
      </c>
      <c r="G140" t="n">
        <v>2</v>
      </c>
      <c r="H140" t="n">
        <v>3</v>
      </c>
    </row>
    <row r="141">
      <c r="A141" s="5" t="n">
        <v>45869</v>
      </c>
      <c r="B141" t="inlineStr">
        <is>
          <t>PL</t>
        </is>
      </c>
      <c r="C141" t="inlineStr">
        <is>
          <t>CC_GOLD</t>
        </is>
      </c>
      <c r="D141" t="n">
        <v>44</v>
      </c>
      <c r="E141" t="n">
        <v>25</v>
      </c>
      <c r="F141" t="n">
        <v>13</v>
      </c>
      <c r="G141" t="n">
        <v>3</v>
      </c>
      <c r="H141" t="n">
        <v>3</v>
      </c>
    </row>
    <row r="142">
      <c r="A142" s="5" t="n">
        <v>45869</v>
      </c>
      <c r="B142" t="inlineStr">
        <is>
          <t>PL</t>
        </is>
      </c>
      <c r="C142" t="inlineStr">
        <is>
          <t>PL_PREM</t>
        </is>
      </c>
      <c r="D142" t="n">
        <v>60</v>
      </c>
      <c r="E142" t="n">
        <v>34</v>
      </c>
      <c r="F142" t="n">
        <v>23</v>
      </c>
      <c r="G142" t="n">
        <v>0</v>
      </c>
      <c r="H142" t="n">
        <v>3</v>
      </c>
    </row>
    <row r="143">
      <c r="A143" s="5" t="n">
        <v>45869</v>
      </c>
      <c r="B143" t="inlineStr">
        <is>
          <t>PL</t>
        </is>
      </c>
      <c r="C143" t="inlineStr">
        <is>
          <t>PL_STD</t>
        </is>
      </c>
      <c r="D143" t="n">
        <v>122</v>
      </c>
      <c r="E143" t="n">
        <v>72</v>
      </c>
      <c r="F143" t="n">
        <v>39</v>
      </c>
      <c r="G143" t="n">
        <v>5</v>
      </c>
      <c r="H143" t="n">
        <v>6</v>
      </c>
    </row>
    <row r="144">
      <c r="A144" s="5" t="n">
        <v>45869</v>
      </c>
      <c r="B144" t="inlineStr">
        <is>
          <t>RO</t>
        </is>
      </c>
      <c r="C144" t="inlineStr">
        <is>
          <t>CC_CLASSIC</t>
        </is>
      </c>
      <c r="D144" t="n">
        <v>67</v>
      </c>
      <c r="E144" t="n">
        <v>39</v>
      </c>
      <c r="F144" t="n">
        <v>25</v>
      </c>
      <c r="G144" t="n">
        <v>2</v>
      </c>
      <c r="H144" t="n">
        <v>1</v>
      </c>
    </row>
    <row r="145">
      <c r="A145" s="5" t="n">
        <v>45869</v>
      </c>
      <c r="B145" t="inlineStr">
        <is>
          <t>RO</t>
        </is>
      </c>
      <c r="C145" t="inlineStr">
        <is>
          <t>CC_CONSOL</t>
        </is>
      </c>
      <c r="D145" t="n">
        <v>17</v>
      </c>
      <c r="E145" t="n">
        <v>8</v>
      </c>
      <c r="F145" t="n">
        <v>8</v>
      </c>
      <c r="G145" t="n">
        <v>1</v>
      </c>
      <c r="H145" t="n">
        <v>0</v>
      </c>
    </row>
    <row r="146">
      <c r="A146" s="5" t="n">
        <v>45869</v>
      </c>
      <c r="B146" t="inlineStr">
        <is>
          <t>RO</t>
        </is>
      </c>
      <c r="C146" t="inlineStr">
        <is>
          <t>CC_GOLD</t>
        </is>
      </c>
      <c r="D146" t="n">
        <v>24</v>
      </c>
      <c r="E146" t="n">
        <v>12</v>
      </c>
      <c r="F146" t="n">
        <v>11</v>
      </c>
      <c r="G146" t="n">
        <v>0</v>
      </c>
      <c r="H146" t="n">
        <v>1</v>
      </c>
    </row>
    <row r="147">
      <c r="A147" s="5" t="n">
        <v>45869</v>
      </c>
      <c r="B147" t="inlineStr">
        <is>
          <t>RO</t>
        </is>
      </c>
      <c r="C147" t="inlineStr">
        <is>
          <t>PL_PREM</t>
        </is>
      </c>
      <c r="D147" t="n">
        <v>25</v>
      </c>
      <c r="E147" t="n">
        <v>11</v>
      </c>
      <c r="F147" t="n">
        <v>11</v>
      </c>
      <c r="G147" t="n">
        <v>3</v>
      </c>
      <c r="H147" t="n">
        <v>0</v>
      </c>
    </row>
    <row r="148">
      <c r="A148" s="5" t="n">
        <v>45869</v>
      </c>
      <c r="B148" t="inlineStr">
        <is>
          <t>RO</t>
        </is>
      </c>
      <c r="C148" t="inlineStr">
        <is>
          <t>PL_STD</t>
        </is>
      </c>
      <c r="D148" t="n">
        <v>56</v>
      </c>
      <c r="E148" t="n">
        <v>29</v>
      </c>
      <c r="F148" t="n">
        <v>21</v>
      </c>
      <c r="G148" t="n">
        <v>1</v>
      </c>
      <c r="H148" t="n">
        <v>5</v>
      </c>
    </row>
    <row r="149">
      <c r="A149" s="5" t="n">
        <v>45900</v>
      </c>
      <c r="B149" t="inlineStr">
        <is>
          <t>CZ</t>
        </is>
      </c>
      <c r="C149" t="inlineStr">
        <is>
          <t>CC_CLASSIC</t>
        </is>
      </c>
      <c r="D149" t="n">
        <v>62</v>
      </c>
      <c r="E149" t="n">
        <v>30</v>
      </c>
      <c r="F149" t="n">
        <v>26</v>
      </c>
      <c r="G149" t="n">
        <v>4</v>
      </c>
      <c r="H149" t="n">
        <v>2</v>
      </c>
    </row>
    <row r="150">
      <c r="A150" s="5" t="n">
        <v>45900</v>
      </c>
      <c r="B150" t="inlineStr">
        <is>
          <t>CZ</t>
        </is>
      </c>
      <c r="C150" t="inlineStr">
        <is>
          <t>CC_CONSOL</t>
        </is>
      </c>
      <c r="D150" t="n">
        <v>34</v>
      </c>
      <c r="E150" t="n">
        <v>13</v>
      </c>
      <c r="F150" t="n">
        <v>16</v>
      </c>
      <c r="G150" t="n">
        <v>3</v>
      </c>
      <c r="H150" t="n">
        <v>2</v>
      </c>
    </row>
    <row r="151">
      <c r="A151" s="5" t="n">
        <v>45900</v>
      </c>
      <c r="B151" t="inlineStr">
        <is>
          <t>CZ</t>
        </is>
      </c>
      <c r="C151" t="inlineStr">
        <is>
          <t>CC_GOLD</t>
        </is>
      </c>
      <c r="D151" t="n">
        <v>29</v>
      </c>
      <c r="E151" t="n">
        <v>8</v>
      </c>
      <c r="F151" t="n">
        <v>18</v>
      </c>
      <c r="G151" t="n">
        <v>2</v>
      </c>
      <c r="H151" t="n">
        <v>1</v>
      </c>
    </row>
    <row r="152">
      <c r="A152" s="5" t="n">
        <v>45900</v>
      </c>
      <c r="B152" t="inlineStr">
        <is>
          <t>CZ</t>
        </is>
      </c>
      <c r="C152" t="inlineStr">
        <is>
          <t>PL_PREM</t>
        </is>
      </c>
      <c r="D152" t="n">
        <v>45</v>
      </c>
      <c r="E152" t="n">
        <v>22</v>
      </c>
      <c r="F152" t="n">
        <v>20</v>
      </c>
      <c r="G152" t="n">
        <v>1</v>
      </c>
      <c r="H152" t="n">
        <v>2</v>
      </c>
    </row>
    <row r="153">
      <c r="A153" s="5" t="n">
        <v>45900</v>
      </c>
      <c r="B153" t="inlineStr">
        <is>
          <t>CZ</t>
        </is>
      </c>
      <c r="C153" t="inlineStr">
        <is>
          <t>PL_STD</t>
        </is>
      </c>
      <c r="D153" t="n">
        <v>80</v>
      </c>
      <c r="E153" t="n">
        <v>45</v>
      </c>
      <c r="F153" t="n">
        <v>30</v>
      </c>
      <c r="G153" t="n">
        <v>3</v>
      </c>
      <c r="H153" t="n">
        <v>2</v>
      </c>
    </row>
    <row r="154">
      <c r="A154" s="5" t="n">
        <v>45900</v>
      </c>
      <c r="B154" t="inlineStr">
        <is>
          <t>PL</t>
        </is>
      </c>
      <c r="C154" t="inlineStr">
        <is>
          <t>CC_CLASSIC</t>
        </is>
      </c>
      <c r="D154" t="n">
        <v>114</v>
      </c>
      <c r="E154" t="n">
        <v>69</v>
      </c>
      <c r="F154" t="n">
        <v>37</v>
      </c>
      <c r="G154" t="n">
        <v>7</v>
      </c>
      <c r="H154" t="n">
        <v>1</v>
      </c>
    </row>
    <row r="155">
      <c r="A155" s="5" t="n">
        <v>45900</v>
      </c>
      <c r="B155" t="inlineStr">
        <is>
          <t>PL</t>
        </is>
      </c>
      <c r="C155" t="inlineStr">
        <is>
          <t>CC_CONSOL</t>
        </is>
      </c>
      <c r="D155" t="n">
        <v>40</v>
      </c>
      <c r="E155" t="n">
        <v>21</v>
      </c>
      <c r="F155" t="n">
        <v>14</v>
      </c>
      <c r="G155" t="n">
        <v>2</v>
      </c>
      <c r="H155" t="n">
        <v>3</v>
      </c>
    </row>
    <row r="156">
      <c r="A156" s="5" t="n">
        <v>45900</v>
      </c>
      <c r="B156" t="inlineStr">
        <is>
          <t>PL</t>
        </is>
      </c>
      <c r="C156" t="inlineStr">
        <is>
          <t>CC_GOLD</t>
        </is>
      </c>
      <c r="D156" t="n">
        <v>47</v>
      </c>
      <c r="E156" t="n">
        <v>19</v>
      </c>
      <c r="F156" t="n">
        <v>23</v>
      </c>
      <c r="G156" t="n">
        <v>4</v>
      </c>
      <c r="H156" t="n">
        <v>1</v>
      </c>
    </row>
    <row r="157">
      <c r="A157" s="5" t="n">
        <v>45900</v>
      </c>
      <c r="B157" t="inlineStr">
        <is>
          <t>PL</t>
        </is>
      </c>
      <c r="C157" t="inlineStr">
        <is>
          <t>PL_PREM</t>
        </is>
      </c>
      <c r="D157" t="n">
        <v>48</v>
      </c>
      <c r="E157" t="n">
        <v>16</v>
      </c>
      <c r="F157" t="n">
        <v>28</v>
      </c>
      <c r="G157" t="n">
        <v>1</v>
      </c>
      <c r="H157" t="n">
        <v>3</v>
      </c>
    </row>
    <row r="158">
      <c r="A158" s="5" t="n">
        <v>45900</v>
      </c>
      <c r="B158" t="inlineStr">
        <is>
          <t>PL</t>
        </is>
      </c>
      <c r="C158" t="inlineStr">
        <is>
          <t>PL_STD</t>
        </is>
      </c>
      <c r="D158" t="n">
        <v>121</v>
      </c>
      <c r="E158" t="n">
        <v>70</v>
      </c>
      <c r="F158" t="n">
        <v>41</v>
      </c>
      <c r="G158" t="n">
        <v>6</v>
      </c>
      <c r="H158" t="n">
        <v>4</v>
      </c>
    </row>
    <row r="159">
      <c r="A159" s="5" t="n">
        <v>45900</v>
      </c>
      <c r="B159" t="inlineStr">
        <is>
          <t>RO</t>
        </is>
      </c>
      <c r="C159" t="inlineStr">
        <is>
          <t>CC_CLASSIC</t>
        </is>
      </c>
      <c r="D159" t="n">
        <v>64</v>
      </c>
      <c r="E159" t="n">
        <v>36</v>
      </c>
      <c r="F159" t="n">
        <v>22</v>
      </c>
      <c r="G159" t="n">
        <v>3</v>
      </c>
      <c r="H159" t="n">
        <v>3</v>
      </c>
    </row>
    <row r="160">
      <c r="A160" s="5" t="n">
        <v>45900</v>
      </c>
      <c r="B160" t="inlineStr">
        <is>
          <t>RO</t>
        </is>
      </c>
      <c r="C160" t="inlineStr">
        <is>
          <t>CC_CONSOL</t>
        </is>
      </c>
      <c r="D160" t="n">
        <v>20</v>
      </c>
      <c r="E160" t="n">
        <v>9</v>
      </c>
      <c r="F160" t="n">
        <v>10</v>
      </c>
      <c r="G160" t="n">
        <v>1</v>
      </c>
      <c r="H160" t="n">
        <v>0</v>
      </c>
    </row>
    <row r="161">
      <c r="A161" s="5" t="n">
        <v>45900</v>
      </c>
      <c r="B161" t="inlineStr">
        <is>
          <t>RO</t>
        </is>
      </c>
      <c r="C161" t="inlineStr">
        <is>
          <t>CC_GOLD</t>
        </is>
      </c>
      <c r="D161" t="n">
        <v>28</v>
      </c>
      <c r="E161" t="n">
        <v>14</v>
      </c>
      <c r="F161" t="n">
        <v>10</v>
      </c>
      <c r="G161" t="n">
        <v>2</v>
      </c>
      <c r="H161" t="n">
        <v>2</v>
      </c>
    </row>
    <row r="162">
      <c r="A162" s="5" t="n">
        <v>45900</v>
      </c>
      <c r="B162" t="inlineStr">
        <is>
          <t>RO</t>
        </is>
      </c>
      <c r="C162" t="inlineStr">
        <is>
          <t>PL_PREM</t>
        </is>
      </c>
      <c r="D162" t="n">
        <v>30</v>
      </c>
      <c r="E162" t="n">
        <v>15</v>
      </c>
      <c r="F162" t="n">
        <v>13</v>
      </c>
      <c r="G162" t="n">
        <v>2</v>
      </c>
      <c r="H162" t="n">
        <v>0</v>
      </c>
    </row>
    <row r="163">
      <c r="A163" s="5" t="n">
        <v>45900</v>
      </c>
      <c r="B163" t="inlineStr">
        <is>
          <t>RO</t>
        </is>
      </c>
      <c r="C163" t="inlineStr">
        <is>
          <t>PL_STD</t>
        </is>
      </c>
      <c r="D163" t="n">
        <v>73</v>
      </c>
      <c r="E163" t="n">
        <v>49</v>
      </c>
      <c r="F163" t="n">
        <v>14</v>
      </c>
      <c r="G163" t="n">
        <v>4</v>
      </c>
      <c r="H163" t="n">
        <v>6</v>
      </c>
    </row>
    <row r="164">
      <c r="A164" s="5" t="n">
        <v>45930</v>
      </c>
      <c r="B164" t="inlineStr">
        <is>
          <t>CZ</t>
        </is>
      </c>
      <c r="C164" t="inlineStr">
        <is>
          <t>CC_CLASSIC</t>
        </is>
      </c>
      <c r="D164" t="n">
        <v>99</v>
      </c>
      <c r="E164" t="n">
        <v>55</v>
      </c>
      <c r="F164" t="n">
        <v>37</v>
      </c>
      <c r="G164" t="n">
        <v>3</v>
      </c>
      <c r="H164" t="n">
        <v>4</v>
      </c>
    </row>
    <row r="165">
      <c r="A165" s="5" t="n">
        <v>45930</v>
      </c>
      <c r="B165" t="inlineStr">
        <is>
          <t>CZ</t>
        </is>
      </c>
      <c r="C165" t="inlineStr">
        <is>
          <t>CC_CONSOL</t>
        </is>
      </c>
      <c r="D165" t="n">
        <v>29</v>
      </c>
      <c r="E165" t="n">
        <v>17</v>
      </c>
      <c r="F165" t="n">
        <v>6</v>
      </c>
      <c r="G165" t="n">
        <v>4</v>
      </c>
      <c r="H165" t="n">
        <v>2</v>
      </c>
    </row>
    <row r="166">
      <c r="A166" s="5" t="n">
        <v>45930</v>
      </c>
      <c r="B166" t="inlineStr">
        <is>
          <t>CZ</t>
        </is>
      </c>
      <c r="C166" t="inlineStr">
        <is>
          <t>CC_GOLD</t>
        </is>
      </c>
      <c r="D166" t="n">
        <v>28</v>
      </c>
      <c r="E166" t="n">
        <v>10</v>
      </c>
      <c r="F166" t="n">
        <v>16</v>
      </c>
      <c r="G166" t="n">
        <v>1</v>
      </c>
      <c r="H166" t="n">
        <v>1</v>
      </c>
    </row>
    <row r="167">
      <c r="A167" s="5" t="n">
        <v>45930</v>
      </c>
      <c r="B167" t="inlineStr">
        <is>
          <t>CZ</t>
        </is>
      </c>
      <c r="C167" t="inlineStr">
        <is>
          <t>PL_PREM</t>
        </is>
      </c>
      <c r="D167" t="n">
        <v>39</v>
      </c>
      <c r="E167" t="n">
        <v>16</v>
      </c>
      <c r="F167" t="n">
        <v>20</v>
      </c>
      <c r="G167" t="n">
        <v>1</v>
      </c>
      <c r="H167" t="n">
        <v>2</v>
      </c>
    </row>
    <row r="168">
      <c r="A168" s="5" t="n">
        <v>45930</v>
      </c>
      <c r="B168" t="inlineStr">
        <is>
          <t>CZ</t>
        </is>
      </c>
      <c r="C168" t="inlineStr">
        <is>
          <t>PL_STD</t>
        </is>
      </c>
      <c r="D168" t="n">
        <v>90</v>
      </c>
      <c r="E168" t="n">
        <v>46</v>
      </c>
      <c r="F168" t="n">
        <v>35</v>
      </c>
      <c r="G168" t="n">
        <v>7</v>
      </c>
      <c r="H168" t="n">
        <v>2</v>
      </c>
    </row>
    <row r="169">
      <c r="A169" s="5" t="n">
        <v>45930</v>
      </c>
      <c r="B169" t="inlineStr">
        <is>
          <t>PL</t>
        </is>
      </c>
      <c r="C169" t="inlineStr">
        <is>
          <t>CC_CLASSIC</t>
        </is>
      </c>
      <c r="D169" t="n">
        <v>127</v>
      </c>
      <c r="E169" t="n">
        <v>67</v>
      </c>
      <c r="F169" t="n">
        <v>37</v>
      </c>
      <c r="G169" t="n">
        <v>13</v>
      </c>
      <c r="H169" t="n">
        <v>10</v>
      </c>
    </row>
    <row r="170">
      <c r="A170" s="5" t="n">
        <v>45930</v>
      </c>
      <c r="B170" t="inlineStr">
        <is>
          <t>PL</t>
        </is>
      </c>
      <c r="C170" t="inlineStr">
        <is>
          <t>CC_CONSOL</t>
        </is>
      </c>
      <c r="D170" t="n">
        <v>45</v>
      </c>
      <c r="E170" t="n">
        <v>23</v>
      </c>
      <c r="F170" t="n">
        <v>14</v>
      </c>
      <c r="G170" t="n">
        <v>4</v>
      </c>
      <c r="H170" t="n">
        <v>4</v>
      </c>
    </row>
    <row r="171">
      <c r="A171" s="5" t="n">
        <v>45930</v>
      </c>
      <c r="B171" t="inlineStr">
        <is>
          <t>PL</t>
        </is>
      </c>
      <c r="C171" t="inlineStr">
        <is>
          <t>CC_GOLD</t>
        </is>
      </c>
      <c r="D171" t="n">
        <v>42</v>
      </c>
      <c r="E171" t="n">
        <v>21</v>
      </c>
      <c r="F171" t="n">
        <v>19</v>
      </c>
      <c r="G171" t="n">
        <v>0</v>
      </c>
      <c r="H171" t="n">
        <v>2</v>
      </c>
    </row>
    <row r="172">
      <c r="A172" s="5" t="n">
        <v>45930</v>
      </c>
      <c r="B172" t="inlineStr">
        <is>
          <t>PL</t>
        </is>
      </c>
      <c r="C172" t="inlineStr">
        <is>
          <t>PL_PREM</t>
        </is>
      </c>
      <c r="D172" t="n">
        <v>66</v>
      </c>
      <c r="E172" t="n">
        <v>32</v>
      </c>
      <c r="F172" t="n">
        <v>27</v>
      </c>
      <c r="G172" t="n">
        <v>3</v>
      </c>
      <c r="H172" t="n">
        <v>4</v>
      </c>
    </row>
    <row r="173">
      <c r="A173" s="5" t="n">
        <v>45930</v>
      </c>
      <c r="B173" t="inlineStr">
        <is>
          <t>PL</t>
        </is>
      </c>
      <c r="C173" t="inlineStr">
        <is>
          <t>PL_STD</t>
        </is>
      </c>
      <c r="D173" t="n">
        <v>145</v>
      </c>
      <c r="E173" t="n">
        <v>73</v>
      </c>
      <c r="F173" t="n">
        <v>56</v>
      </c>
      <c r="G173" t="n">
        <v>9</v>
      </c>
      <c r="H173" t="n">
        <v>7</v>
      </c>
    </row>
    <row r="174">
      <c r="A174" s="5" t="n">
        <v>45930</v>
      </c>
      <c r="B174" t="inlineStr">
        <is>
          <t>RO</t>
        </is>
      </c>
      <c r="C174" t="inlineStr">
        <is>
          <t>CC_CLASSIC</t>
        </is>
      </c>
      <c r="D174" t="n">
        <v>80</v>
      </c>
      <c r="E174" t="n">
        <v>39</v>
      </c>
      <c r="F174" t="n">
        <v>30</v>
      </c>
      <c r="G174" t="n">
        <v>5</v>
      </c>
      <c r="H174" t="n">
        <v>6</v>
      </c>
    </row>
    <row r="175">
      <c r="A175" s="5" t="n">
        <v>45930</v>
      </c>
      <c r="B175" t="inlineStr">
        <is>
          <t>RO</t>
        </is>
      </c>
      <c r="C175" t="inlineStr">
        <is>
          <t>CC_CONSOL</t>
        </is>
      </c>
      <c r="D175" t="n">
        <v>19</v>
      </c>
      <c r="E175" t="n">
        <v>9</v>
      </c>
      <c r="F175" t="n">
        <v>10</v>
      </c>
      <c r="G175" t="n">
        <v>0</v>
      </c>
      <c r="H175" t="n">
        <v>0</v>
      </c>
    </row>
    <row r="176">
      <c r="A176" s="5" t="n">
        <v>45930</v>
      </c>
      <c r="B176" t="inlineStr">
        <is>
          <t>RO</t>
        </is>
      </c>
      <c r="C176" t="inlineStr">
        <is>
          <t>CC_GOLD</t>
        </is>
      </c>
      <c r="D176" t="n">
        <v>27</v>
      </c>
      <c r="E176" t="n">
        <v>8</v>
      </c>
      <c r="F176" t="n">
        <v>14</v>
      </c>
      <c r="G176" t="n">
        <v>2</v>
      </c>
      <c r="H176" t="n">
        <v>3</v>
      </c>
    </row>
    <row r="177">
      <c r="A177" s="5" t="n">
        <v>45930</v>
      </c>
      <c r="B177" t="inlineStr">
        <is>
          <t>RO</t>
        </is>
      </c>
      <c r="C177" t="inlineStr">
        <is>
          <t>PL_PREM</t>
        </is>
      </c>
      <c r="D177" t="n">
        <v>28</v>
      </c>
      <c r="E177" t="n">
        <v>11</v>
      </c>
      <c r="F177" t="n">
        <v>14</v>
      </c>
      <c r="G177" t="n">
        <v>1</v>
      </c>
      <c r="H177" t="n">
        <v>2</v>
      </c>
    </row>
    <row r="178">
      <c r="A178" s="5" t="n">
        <v>45930</v>
      </c>
      <c r="B178" t="inlineStr">
        <is>
          <t>RO</t>
        </is>
      </c>
      <c r="C178" t="inlineStr">
        <is>
          <t>PL_STD</t>
        </is>
      </c>
      <c r="D178" t="n">
        <v>85</v>
      </c>
      <c r="E178" t="n">
        <v>47</v>
      </c>
      <c r="F178" t="n">
        <v>28</v>
      </c>
      <c r="G178" t="n">
        <v>7</v>
      </c>
      <c r="H178" t="n">
        <v>3</v>
      </c>
    </row>
    <row r="179">
      <c r="A179" s="5" t="n">
        <v>45961</v>
      </c>
      <c r="B179" t="inlineStr">
        <is>
          <t>CZ</t>
        </is>
      </c>
      <c r="C179" t="inlineStr">
        <is>
          <t>CC_CLASSIC</t>
        </is>
      </c>
      <c r="D179" t="n">
        <v>99</v>
      </c>
      <c r="E179" t="n">
        <v>53</v>
      </c>
      <c r="F179" t="n">
        <v>35</v>
      </c>
      <c r="G179" t="n">
        <v>8</v>
      </c>
      <c r="H179" t="n">
        <v>3</v>
      </c>
    </row>
    <row r="180">
      <c r="A180" s="5" t="n">
        <v>45961</v>
      </c>
      <c r="B180" t="inlineStr">
        <is>
          <t>CZ</t>
        </is>
      </c>
      <c r="C180" t="inlineStr">
        <is>
          <t>CC_CONSOL</t>
        </is>
      </c>
      <c r="D180" t="n">
        <v>29</v>
      </c>
      <c r="E180" t="n">
        <v>16</v>
      </c>
      <c r="F180" t="n">
        <v>11</v>
      </c>
      <c r="G180" t="n">
        <v>0</v>
      </c>
      <c r="H180" t="n">
        <v>2</v>
      </c>
    </row>
    <row r="181">
      <c r="A181" s="5" t="n">
        <v>45961</v>
      </c>
      <c r="B181" t="inlineStr">
        <is>
          <t>CZ</t>
        </is>
      </c>
      <c r="C181" t="inlineStr">
        <is>
          <t>CC_GOLD</t>
        </is>
      </c>
      <c r="D181" t="n">
        <v>40</v>
      </c>
      <c r="E181" t="n">
        <v>15</v>
      </c>
      <c r="F181" t="n">
        <v>23</v>
      </c>
      <c r="G181" t="n">
        <v>2</v>
      </c>
      <c r="H181" t="n">
        <v>0</v>
      </c>
    </row>
    <row r="182">
      <c r="A182" s="5" t="n">
        <v>45961</v>
      </c>
      <c r="B182" t="inlineStr">
        <is>
          <t>CZ</t>
        </is>
      </c>
      <c r="C182" t="inlineStr">
        <is>
          <t>PL_PREM</t>
        </is>
      </c>
      <c r="D182" t="n">
        <v>46</v>
      </c>
      <c r="E182" t="n">
        <v>19</v>
      </c>
      <c r="F182" t="n">
        <v>23</v>
      </c>
      <c r="G182" t="n">
        <v>3</v>
      </c>
      <c r="H182" t="n">
        <v>1</v>
      </c>
    </row>
    <row r="183">
      <c r="A183" s="5" t="n">
        <v>45961</v>
      </c>
      <c r="B183" t="inlineStr">
        <is>
          <t>CZ</t>
        </is>
      </c>
      <c r="C183" t="inlineStr">
        <is>
          <t>PL_STD</t>
        </is>
      </c>
      <c r="D183" t="n">
        <v>100</v>
      </c>
      <c r="E183" t="n">
        <v>55</v>
      </c>
      <c r="F183" t="n">
        <v>40</v>
      </c>
      <c r="G183" t="n">
        <v>2</v>
      </c>
      <c r="H183" t="n">
        <v>3</v>
      </c>
    </row>
    <row r="184">
      <c r="A184" s="5" t="n">
        <v>45961</v>
      </c>
      <c r="B184" t="inlineStr">
        <is>
          <t>PL</t>
        </is>
      </c>
      <c r="C184" t="inlineStr">
        <is>
          <t>CC_CLASSIC</t>
        </is>
      </c>
      <c r="D184" t="n">
        <v>102</v>
      </c>
      <c r="E184" t="n">
        <v>57</v>
      </c>
      <c r="F184" t="n">
        <v>34</v>
      </c>
      <c r="G184" t="n">
        <v>7</v>
      </c>
      <c r="H184" t="n">
        <v>4</v>
      </c>
    </row>
    <row r="185">
      <c r="A185" s="5" t="n">
        <v>45961</v>
      </c>
      <c r="B185" t="inlineStr">
        <is>
          <t>PL</t>
        </is>
      </c>
      <c r="C185" t="inlineStr">
        <is>
          <t>CC_CONSOL</t>
        </is>
      </c>
      <c r="D185" t="n">
        <v>50</v>
      </c>
      <c r="E185" t="n">
        <v>21</v>
      </c>
      <c r="F185" t="n">
        <v>24</v>
      </c>
      <c r="G185" t="n">
        <v>5</v>
      </c>
      <c r="H185" t="n">
        <v>0</v>
      </c>
    </row>
    <row r="186">
      <c r="A186" s="5" t="n">
        <v>45961</v>
      </c>
      <c r="B186" t="inlineStr">
        <is>
          <t>PL</t>
        </is>
      </c>
      <c r="C186" t="inlineStr">
        <is>
          <t>CC_GOLD</t>
        </is>
      </c>
      <c r="D186" t="n">
        <v>46</v>
      </c>
      <c r="E186" t="n">
        <v>14</v>
      </c>
      <c r="F186" t="n">
        <v>26</v>
      </c>
      <c r="G186" t="n">
        <v>4</v>
      </c>
      <c r="H186" t="n">
        <v>2</v>
      </c>
    </row>
    <row r="187">
      <c r="A187" s="5" t="n">
        <v>45961</v>
      </c>
      <c r="B187" t="inlineStr">
        <is>
          <t>PL</t>
        </is>
      </c>
      <c r="C187" t="inlineStr">
        <is>
          <t>PL_PREM</t>
        </is>
      </c>
      <c r="D187" t="n">
        <v>63</v>
      </c>
      <c r="E187" t="n">
        <v>26</v>
      </c>
      <c r="F187" t="n">
        <v>28</v>
      </c>
      <c r="G187" t="n">
        <v>5</v>
      </c>
      <c r="H187" t="n">
        <v>4</v>
      </c>
    </row>
    <row r="188">
      <c r="A188" s="5" t="n">
        <v>45961</v>
      </c>
      <c r="B188" t="inlineStr">
        <is>
          <t>PL</t>
        </is>
      </c>
      <c r="C188" t="inlineStr">
        <is>
          <t>PL_STD</t>
        </is>
      </c>
      <c r="D188" t="n">
        <v>139</v>
      </c>
      <c r="E188" t="n">
        <v>72</v>
      </c>
      <c r="F188" t="n">
        <v>56</v>
      </c>
      <c r="G188" t="n">
        <v>5</v>
      </c>
      <c r="H188" t="n">
        <v>6</v>
      </c>
    </row>
    <row r="189">
      <c r="A189" s="5" t="n">
        <v>45961</v>
      </c>
      <c r="B189" t="inlineStr">
        <is>
          <t>RO</t>
        </is>
      </c>
      <c r="C189" t="inlineStr">
        <is>
          <t>CC_CLASSIC</t>
        </is>
      </c>
      <c r="D189" t="n">
        <v>68</v>
      </c>
      <c r="E189" t="n">
        <v>39</v>
      </c>
      <c r="F189" t="n">
        <v>19</v>
      </c>
      <c r="G189" t="n">
        <v>5</v>
      </c>
      <c r="H189" t="n">
        <v>5</v>
      </c>
    </row>
    <row r="190">
      <c r="A190" s="5" t="n">
        <v>45961</v>
      </c>
      <c r="B190" t="inlineStr">
        <is>
          <t>RO</t>
        </is>
      </c>
      <c r="C190" t="inlineStr">
        <is>
          <t>CC_CONSOL</t>
        </is>
      </c>
      <c r="D190" t="n">
        <v>25</v>
      </c>
      <c r="E190" t="n">
        <v>14</v>
      </c>
      <c r="F190" t="n">
        <v>9</v>
      </c>
      <c r="G190" t="n">
        <v>2</v>
      </c>
      <c r="H190" t="n">
        <v>0</v>
      </c>
    </row>
    <row r="191">
      <c r="A191" s="5" t="n">
        <v>45961</v>
      </c>
      <c r="B191" t="inlineStr">
        <is>
          <t>RO</t>
        </is>
      </c>
      <c r="C191" t="inlineStr">
        <is>
          <t>CC_GOLD</t>
        </is>
      </c>
      <c r="D191" t="n">
        <v>37</v>
      </c>
      <c r="E191" t="n">
        <v>10</v>
      </c>
      <c r="F191" t="n">
        <v>23</v>
      </c>
      <c r="G191" t="n">
        <v>2</v>
      </c>
      <c r="H191" t="n">
        <v>2</v>
      </c>
    </row>
    <row r="192">
      <c r="A192" s="5" t="n">
        <v>45961</v>
      </c>
      <c r="B192" t="inlineStr">
        <is>
          <t>RO</t>
        </is>
      </c>
      <c r="C192" t="inlineStr">
        <is>
          <t>PL_PREM</t>
        </is>
      </c>
      <c r="D192" t="n">
        <v>34</v>
      </c>
      <c r="E192" t="n">
        <v>17</v>
      </c>
      <c r="F192" t="n">
        <v>11</v>
      </c>
      <c r="G192" t="n">
        <v>2</v>
      </c>
      <c r="H192" t="n">
        <v>4</v>
      </c>
    </row>
    <row r="193">
      <c r="A193" s="5" t="n">
        <v>45961</v>
      </c>
      <c r="B193" t="inlineStr">
        <is>
          <t>RO</t>
        </is>
      </c>
      <c r="C193" t="inlineStr">
        <is>
          <t>PL_STD</t>
        </is>
      </c>
      <c r="D193" t="n">
        <v>90</v>
      </c>
      <c r="E193" t="n">
        <v>53</v>
      </c>
      <c r="F193" t="n">
        <v>30</v>
      </c>
      <c r="G193" t="n">
        <v>6</v>
      </c>
      <c r="H193" t="n">
        <v>1</v>
      </c>
    </row>
    <row r="194">
      <c r="A194" s="5" t="n">
        <v>45991</v>
      </c>
      <c r="B194" t="inlineStr">
        <is>
          <t>CZ</t>
        </is>
      </c>
      <c r="C194" t="inlineStr">
        <is>
          <t>CC_CLASSIC</t>
        </is>
      </c>
      <c r="D194" t="n">
        <v>89</v>
      </c>
      <c r="E194" t="n">
        <v>51</v>
      </c>
      <c r="F194" t="n">
        <v>31</v>
      </c>
      <c r="G194" t="n">
        <v>5</v>
      </c>
      <c r="H194" t="n">
        <v>2</v>
      </c>
    </row>
    <row r="195">
      <c r="A195" s="5" t="n">
        <v>45991</v>
      </c>
      <c r="B195" t="inlineStr">
        <is>
          <t>CZ</t>
        </is>
      </c>
      <c r="C195" t="inlineStr">
        <is>
          <t>CC_CONSOL</t>
        </is>
      </c>
      <c r="D195" t="n">
        <v>22</v>
      </c>
      <c r="E195" t="n">
        <v>9</v>
      </c>
      <c r="F195" t="n">
        <v>8</v>
      </c>
      <c r="G195" t="n">
        <v>1</v>
      </c>
      <c r="H195" t="n">
        <v>4</v>
      </c>
    </row>
    <row r="196">
      <c r="A196" s="5" t="n">
        <v>45991</v>
      </c>
      <c r="B196" t="inlineStr">
        <is>
          <t>CZ</t>
        </is>
      </c>
      <c r="C196" t="inlineStr">
        <is>
          <t>CC_GOLD</t>
        </is>
      </c>
      <c r="D196" t="n">
        <v>36</v>
      </c>
      <c r="E196" t="n">
        <v>20</v>
      </c>
      <c r="F196" t="n">
        <v>16</v>
      </c>
      <c r="G196" t="n">
        <v>0</v>
      </c>
      <c r="H196" t="n">
        <v>0</v>
      </c>
    </row>
    <row r="197">
      <c r="A197" s="5" t="n">
        <v>45991</v>
      </c>
      <c r="B197" t="inlineStr">
        <is>
          <t>CZ</t>
        </is>
      </c>
      <c r="C197" t="inlineStr">
        <is>
          <t>PL_PREM</t>
        </is>
      </c>
      <c r="D197" t="n">
        <v>47</v>
      </c>
      <c r="E197" t="n">
        <v>22</v>
      </c>
      <c r="F197" t="n">
        <v>19</v>
      </c>
      <c r="G197" t="n">
        <v>4</v>
      </c>
      <c r="H197" t="n">
        <v>2</v>
      </c>
    </row>
    <row r="198">
      <c r="A198" s="5" t="n">
        <v>45991</v>
      </c>
      <c r="B198" t="inlineStr">
        <is>
          <t>CZ</t>
        </is>
      </c>
      <c r="C198" t="inlineStr">
        <is>
          <t>PL_STD</t>
        </is>
      </c>
      <c r="D198" t="n">
        <v>95</v>
      </c>
      <c r="E198" t="n">
        <v>39</v>
      </c>
      <c r="F198" t="n">
        <v>44</v>
      </c>
      <c r="G198" t="n">
        <v>8</v>
      </c>
      <c r="H198" t="n">
        <v>4</v>
      </c>
    </row>
    <row r="199">
      <c r="A199" s="5" t="n">
        <v>45991</v>
      </c>
      <c r="B199" t="inlineStr">
        <is>
          <t>PL</t>
        </is>
      </c>
      <c r="C199" t="inlineStr">
        <is>
          <t>CC_CLASSIC</t>
        </is>
      </c>
      <c r="D199" t="n">
        <v>148</v>
      </c>
      <c r="E199" t="n">
        <v>78</v>
      </c>
      <c r="F199" t="n">
        <v>57</v>
      </c>
      <c r="G199" t="n">
        <v>8</v>
      </c>
      <c r="H199" t="n">
        <v>5</v>
      </c>
    </row>
    <row r="200">
      <c r="A200" s="5" t="n">
        <v>45991</v>
      </c>
      <c r="B200" t="inlineStr">
        <is>
          <t>PL</t>
        </is>
      </c>
      <c r="C200" t="inlineStr">
        <is>
          <t>CC_CONSOL</t>
        </is>
      </c>
      <c r="D200" t="n">
        <v>36</v>
      </c>
      <c r="E200" t="n">
        <v>13</v>
      </c>
      <c r="F200" t="n">
        <v>16</v>
      </c>
      <c r="G200" t="n">
        <v>5</v>
      </c>
      <c r="H200" t="n">
        <v>2</v>
      </c>
    </row>
    <row r="201">
      <c r="A201" s="5" t="n">
        <v>45991</v>
      </c>
      <c r="B201" t="inlineStr">
        <is>
          <t>PL</t>
        </is>
      </c>
      <c r="C201" t="inlineStr">
        <is>
          <t>CC_GOLD</t>
        </is>
      </c>
      <c r="D201" t="n">
        <v>41</v>
      </c>
      <c r="E201" t="n">
        <v>14</v>
      </c>
      <c r="F201" t="n">
        <v>22</v>
      </c>
      <c r="G201" t="n">
        <v>2</v>
      </c>
      <c r="H201" t="n">
        <v>3</v>
      </c>
    </row>
    <row r="202">
      <c r="A202" s="5" t="n">
        <v>45991</v>
      </c>
      <c r="B202" t="inlineStr">
        <is>
          <t>PL</t>
        </is>
      </c>
      <c r="C202" t="inlineStr">
        <is>
          <t>PL_PREM</t>
        </is>
      </c>
      <c r="D202" t="n">
        <v>63</v>
      </c>
      <c r="E202" t="n">
        <v>26</v>
      </c>
      <c r="F202" t="n">
        <v>32</v>
      </c>
      <c r="G202" t="n">
        <v>2</v>
      </c>
      <c r="H202" t="n">
        <v>3</v>
      </c>
    </row>
    <row r="203">
      <c r="A203" s="5" t="n">
        <v>45991</v>
      </c>
      <c r="B203" t="inlineStr">
        <is>
          <t>PL</t>
        </is>
      </c>
      <c r="C203" t="inlineStr">
        <is>
          <t>PL_STD</t>
        </is>
      </c>
      <c r="D203" t="n">
        <v>122</v>
      </c>
      <c r="E203" t="n">
        <v>55</v>
      </c>
      <c r="F203" t="n">
        <v>49</v>
      </c>
      <c r="G203" t="n">
        <v>11</v>
      </c>
      <c r="H203" t="n">
        <v>7</v>
      </c>
    </row>
    <row r="204">
      <c r="A204" s="5" t="n">
        <v>45991</v>
      </c>
      <c r="B204" t="inlineStr">
        <is>
          <t>RO</t>
        </is>
      </c>
      <c r="C204" t="inlineStr">
        <is>
          <t>CC_CLASSIC</t>
        </is>
      </c>
      <c r="D204" t="n">
        <v>77</v>
      </c>
      <c r="E204" t="n">
        <v>44</v>
      </c>
      <c r="F204" t="n">
        <v>23</v>
      </c>
      <c r="G204" t="n">
        <v>8</v>
      </c>
      <c r="H204" t="n">
        <v>2</v>
      </c>
    </row>
    <row r="205">
      <c r="A205" s="5" t="n">
        <v>45991</v>
      </c>
      <c r="B205" t="inlineStr">
        <is>
          <t>RO</t>
        </is>
      </c>
      <c r="C205" t="inlineStr">
        <is>
          <t>CC_CONSOL</t>
        </is>
      </c>
      <c r="D205" t="n">
        <v>24</v>
      </c>
      <c r="E205" t="n">
        <v>6</v>
      </c>
      <c r="F205" t="n">
        <v>15</v>
      </c>
      <c r="G205" t="n">
        <v>2</v>
      </c>
      <c r="H205" t="n">
        <v>1</v>
      </c>
    </row>
    <row r="206">
      <c r="A206" s="5" t="n">
        <v>45991</v>
      </c>
      <c r="B206" t="inlineStr">
        <is>
          <t>RO</t>
        </is>
      </c>
      <c r="C206" t="inlineStr">
        <is>
          <t>CC_GOLD</t>
        </is>
      </c>
      <c r="D206" t="n">
        <v>34</v>
      </c>
      <c r="E206" t="n">
        <v>21</v>
      </c>
      <c r="F206" t="n">
        <v>12</v>
      </c>
      <c r="G206" t="n">
        <v>1</v>
      </c>
      <c r="H206" t="n">
        <v>0</v>
      </c>
    </row>
    <row r="207">
      <c r="A207" s="5" t="n">
        <v>45991</v>
      </c>
      <c r="B207" t="inlineStr">
        <is>
          <t>RO</t>
        </is>
      </c>
      <c r="C207" t="inlineStr">
        <is>
          <t>PL_PREM</t>
        </is>
      </c>
      <c r="D207" t="n">
        <v>43</v>
      </c>
      <c r="E207" t="n">
        <v>16</v>
      </c>
      <c r="F207" t="n">
        <v>22</v>
      </c>
      <c r="G207" t="n">
        <v>3</v>
      </c>
      <c r="H207" t="n">
        <v>2</v>
      </c>
    </row>
    <row r="208">
      <c r="A208" s="5" t="n">
        <v>45991</v>
      </c>
      <c r="B208" t="inlineStr">
        <is>
          <t>RO</t>
        </is>
      </c>
      <c r="C208" t="inlineStr">
        <is>
          <t>PL_STD</t>
        </is>
      </c>
      <c r="D208" t="n">
        <v>82</v>
      </c>
      <c r="E208" t="n">
        <v>50</v>
      </c>
      <c r="F208" t="n">
        <v>22</v>
      </c>
      <c r="G208" t="n">
        <v>6</v>
      </c>
      <c r="H208" t="n">
        <v>4</v>
      </c>
    </row>
    <row r="209">
      <c r="A209" s="5" t="n">
        <v>46022</v>
      </c>
      <c r="B209" t="inlineStr">
        <is>
          <t>CZ</t>
        </is>
      </c>
      <c r="C209" t="inlineStr">
        <is>
          <t>CC_CLASSIC</t>
        </is>
      </c>
      <c r="D209" t="n">
        <v>126</v>
      </c>
      <c r="E209" t="n">
        <v>77</v>
      </c>
      <c r="F209" t="n">
        <v>37</v>
      </c>
      <c r="G209" t="n">
        <v>6</v>
      </c>
      <c r="H209" t="n">
        <v>6</v>
      </c>
    </row>
    <row r="210">
      <c r="A210" s="5" t="n">
        <v>46022</v>
      </c>
      <c r="B210" t="inlineStr">
        <is>
          <t>CZ</t>
        </is>
      </c>
      <c r="C210" t="inlineStr">
        <is>
          <t>CC_CONSOL</t>
        </is>
      </c>
      <c r="D210" t="n">
        <v>40</v>
      </c>
      <c r="E210" t="n">
        <v>16</v>
      </c>
      <c r="F210" t="n">
        <v>18</v>
      </c>
      <c r="G210" t="n">
        <v>2</v>
      </c>
      <c r="H210" t="n">
        <v>4</v>
      </c>
    </row>
    <row r="211">
      <c r="A211" s="5" t="n">
        <v>46022</v>
      </c>
      <c r="B211" t="inlineStr">
        <is>
          <t>CZ</t>
        </is>
      </c>
      <c r="C211" t="inlineStr">
        <is>
          <t>CC_GOLD</t>
        </is>
      </c>
      <c r="D211" t="n">
        <v>39</v>
      </c>
      <c r="E211" t="n">
        <v>20</v>
      </c>
      <c r="F211" t="n">
        <v>18</v>
      </c>
      <c r="G211" t="n">
        <v>1</v>
      </c>
      <c r="H211" t="n">
        <v>0</v>
      </c>
    </row>
    <row r="212">
      <c r="A212" s="5" t="n">
        <v>46022</v>
      </c>
      <c r="B212" t="inlineStr">
        <is>
          <t>CZ</t>
        </is>
      </c>
      <c r="C212" t="inlineStr">
        <is>
          <t>PL_PREM</t>
        </is>
      </c>
      <c r="D212" t="n">
        <v>47</v>
      </c>
      <c r="E212" t="n">
        <v>21</v>
      </c>
      <c r="F212" t="n">
        <v>21</v>
      </c>
      <c r="G212" t="n">
        <v>4</v>
      </c>
      <c r="H212" t="n">
        <v>1</v>
      </c>
    </row>
    <row r="213">
      <c r="A213" s="5" t="n">
        <v>46022</v>
      </c>
      <c r="B213" t="inlineStr">
        <is>
          <t>CZ</t>
        </is>
      </c>
      <c r="C213" t="inlineStr">
        <is>
          <t>PL_STD</t>
        </is>
      </c>
      <c r="D213" t="n">
        <v>139</v>
      </c>
      <c r="E213" t="n">
        <v>77</v>
      </c>
      <c r="F213" t="n">
        <v>50</v>
      </c>
      <c r="G213" t="n">
        <v>5</v>
      </c>
      <c r="H213" t="n">
        <v>7</v>
      </c>
    </row>
    <row r="214">
      <c r="A214" s="5" t="n">
        <v>46022</v>
      </c>
      <c r="B214" t="inlineStr">
        <is>
          <t>PL</t>
        </is>
      </c>
      <c r="C214" t="inlineStr">
        <is>
          <t>CC_CLASSIC</t>
        </is>
      </c>
      <c r="D214" t="n">
        <v>114</v>
      </c>
      <c r="E214" t="n">
        <v>57</v>
      </c>
      <c r="F214" t="n">
        <v>47</v>
      </c>
      <c r="G214" t="n">
        <v>7</v>
      </c>
      <c r="H214" t="n">
        <v>3</v>
      </c>
    </row>
    <row r="215">
      <c r="A215" s="5" t="n">
        <v>46022</v>
      </c>
      <c r="B215" t="inlineStr">
        <is>
          <t>PL</t>
        </is>
      </c>
      <c r="C215" t="inlineStr">
        <is>
          <t>CC_CONSOL</t>
        </is>
      </c>
      <c r="D215" t="n">
        <v>50</v>
      </c>
      <c r="E215" t="n">
        <v>27</v>
      </c>
      <c r="F215" t="n">
        <v>16</v>
      </c>
      <c r="G215" t="n">
        <v>2</v>
      </c>
      <c r="H215" t="n">
        <v>5</v>
      </c>
    </row>
    <row r="216">
      <c r="A216" s="5" t="n">
        <v>46022</v>
      </c>
      <c r="B216" t="inlineStr">
        <is>
          <t>PL</t>
        </is>
      </c>
      <c r="C216" t="inlineStr">
        <is>
          <t>CC_GOLD</t>
        </is>
      </c>
      <c r="D216" t="n">
        <v>52</v>
      </c>
      <c r="E216" t="n">
        <v>19</v>
      </c>
      <c r="F216" t="n">
        <v>27</v>
      </c>
      <c r="G216" t="n">
        <v>5</v>
      </c>
      <c r="H216" t="n">
        <v>1</v>
      </c>
    </row>
    <row r="217">
      <c r="A217" s="5" t="n">
        <v>46022</v>
      </c>
      <c r="B217" t="inlineStr">
        <is>
          <t>PL</t>
        </is>
      </c>
      <c r="C217" t="inlineStr">
        <is>
          <t>PL_PREM</t>
        </is>
      </c>
      <c r="D217" t="n">
        <v>84</v>
      </c>
      <c r="E217" t="n">
        <v>39</v>
      </c>
      <c r="F217" t="n">
        <v>35</v>
      </c>
      <c r="G217" t="n">
        <v>4</v>
      </c>
      <c r="H217" t="n">
        <v>6</v>
      </c>
    </row>
    <row r="218">
      <c r="A218" s="5" t="n">
        <v>46022</v>
      </c>
      <c r="B218" t="inlineStr">
        <is>
          <t>PL</t>
        </is>
      </c>
      <c r="C218" t="inlineStr">
        <is>
          <t>PL_STD</t>
        </is>
      </c>
      <c r="D218" t="n">
        <v>157</v>
      </c>
      <c r="E218" t="n">
        <v>91</v>
      </c>
      <c r="F218" t="n">
        <v>52</v>
      </c>
      <c r="G218" t="n">
        <v>10</v>
      </c>
      <c r="H218" t="n">
        <v>4</v>
      </c>
    </row>
    <row r="219">
      <c r="A219" s="5" t="n">
        <v>46022</v>
      </c>
      <c r="B219" t="inlineStr">
        <is>
          <t>RO</t>
        </is>
      </c>
      <c r="C219" t="inlineStr">
        <is>
          <t>CC_CLASSIC</t>
        </is>
      </c>
      <c r="D219" t="n">
        <v>84</v>
      </c>
      <c r="E219" t="n">
        <v>55</v>
      </c>
      <c r="F219" t="n">
        <v>22</v>
      </c>
      <c r="G219" t="n">
        <v>4</v>
      </c>
      <c r="H219" t="n">
        <v>3</v>
      </c>
    </row>
    <row r="220">
      <c r="A220" s="5" t="n">
        <v>46022</v>
      </c>
      <c r="B220" t="inlineStr">
        <is>
          <t>RO</t>
        </is>
      </c>
      <c r="C220" t="inlineStr">
        <is>
          <t>CC_CONSOL</t>
        </is>
      </c>
      <c r="D220" t="n">
        <v>29</v>
      </c>
      <c r="E220" t="n">
        <v>11</v>
      </c>
      <c r="F220" t="n">
        <v>13</v>
      </c>
      <c r="G220" t="n">
        <v>2</v>
      </c>
      <c r="H220" t="n">
        <v>3</v>
      </c>
    </row>
    <row r="221">
      <c r="A221" s="5" t="n">
        <v>46022</v>
      </c>
      <c r="B221" t="inlineStr">
        <is>
          <t>RO</t>
        </is>
      </c>
      <c r="C221" t="inlineStr">
        <is>
          <t>CC_GOLD</t>
        </is>
      </c>
      <c r="D221" t="n">
        <v>41</v>
      </c>
      <c r="E221" t="n">
        <v>13</v>
      </c>
      <c r="F221" t="n">
        <v>24</v>
      </c>
      <c r="G221" t="n">
        <v>2</v>
      </c>
      <c r="H221" t="n">
        <v>2</v>
      </c>
    </row>
    <row r="222">
      <c r="A222" s="5" t="n">
        <v>46022</v>
      </c>
      <c r="B222" t="inlineStr">
        <is>
          <t>RO</t>
        </is>
      </c>
      <c r="C222" t="inlineStr">
        <is>
          <t>PL_PREM</t>
        </is>
      </c>
      <c r="D222" t="n">
        <v>32</v>
      </c>
      <c r="E222" t="n">
        <v>18</v>
      </c>
      <c r="F222" t="n">
        <v>11</v>
      </c>
      <c r="G222" t="n">
        <v>3</v>
      </c>
      <c r="H222" t="n">
        <v>0</v>
      </c>
    </row>
    <row r="223">
      <c r="A223" s="5" t="n">
        <v>46022</v>
      </c>
      <c r="B223" t="inlineStr">
        <is>
          <t>RO</t>
        </is>
      </c>
      <c r="C223" t="inlineStr">
        <is>
          <t>PL_STD</t>
        </is>
      </c>
      <c r="D223" t="n">
        <v>104</v>
      </c>
      <c r="E223" t="n">
        <v>58</v>
      </c>
      <c r="F223" t="n">
        <v>37</v>
      </c>
      <c r="G223" t="n">
        <v>6</v>
      </c>
      <c r="H223" t="n">
        <v>3</v>
      </c>
    </row>
    <row r="224">
      <c r="A224" s="5" t="n">
        <v>46053</v>
      </c>
      <c r="B224" t="inlineStr">
        <is>
          <t>CZ</t>
        </is>
      </c>
      <c r="C224" t="inlineStr">
        <is>
          <t>CC_CLASSIC</t>
        </is>
      </c>
      <c r="D224" t="n">
        <v>71</v>
      </c>
      <c r="E224" t="n">
        <v>36</v>
      </c>
      <c r="F224" t="n">
        <v>27</v>
      </c>
      <c r="G224" t="n">
        <v>5</v>
      </c>
      <c r="H224" t="n">
        <v>3</v>
      </c>
    </row>
    <row r="225">
      <c r="A225" s="5" t="n">
        <v>46053</v>
      </c>
      <c r="B225" t="inlineStr">
        <is>
          <t>CZ</t>
        </is>
      </c>
      <c r="C225" t="inlineStr">
        <is>
          <t>CC_CONSOL</t>
        </is>
      </c>
      <c r="D225" t="n">
        <v>16</v>
      </c>
      <c r="E225" t="n">
        <v>5</v>
      </c>
      <c r="F225" t="n">
        <v>9</v>
      </c>
      <c r="G225" t="n">
        <v>1</v>
      </c>
      <c r="H225" t="n">
        <v>1</v>
      </c>
    </row>
    <row r="226">
      <c r="A226" s="5" t="n">
        <v>46053</v>
      </c>
      <c r="B226" t="inlineStr">
        <is>
          <t>CZ</t>
        </is>
      </c>
      <c r="C226" t="inlineStr">
        <is>
          <t>CC_GOLD</t>
        </is>
      </c>
      <c r="D226" t="n">
        <v>25</v>
      </c>
      <c r="E226" t="n">
        <v>8</v>
      </c>
      <c r="F226" t="n">
        <v>13</v>
      </c>
      <c r="G226" t="n">
        <v>0</v>
      </c>
      <c r="H226" t="n">
        <v>4</v>
      </c>
    </row>
    <row r="227">
      <c r="A227" s="5" t="n">
        <v>46053</v>
      </c>
      <c r="B227" t="inlineStr">
        <is>
          <t>CZ</t>
        </is>
      </c>
      <c r="C227" t="inlineStr">
        <is>
          <t>PL_PREM</t>
        </is>
      </c>
      <c r="D227" t="n">
        <v>23</v>
      </c>
      <c r="E227" t="n">
        <v>13</v>
      </c>
      <c r="F227" t="n">
        <v>10</v>
      </c>
      <c r="G227" t="n">
        <v>0</v>
      </c>
      <c r="H227" t="n">
        <v>0</v>
      </c>
    </row>
    <row r="228">
      <c r="A228" s="5" t="n">
        <v>46053</v>
      </c>
      <c r="B228" t="inlineStr">
        <is>
          <t>CZ</t>
        </is>
      </c>
      <c r="C228" t="inlineStr">
        <is>
          <t>PL_STD</t>
        </is>
      </c>
      <c r="D228" t="n">
        <v>84</v>
      </c>
      <c r="E228" t="n">
        <v>48</v>
      </c>
      <c r="F228" t="n">
        <v>28</v>
      </c>
      <c r="G228" t="n">
        <v>4</v>
      </c>
      <c r="H228" t="n">
        <v>4</v>
      </c>
    </row>
    <row r="229">
      <c r="A229" s="5" t="n">
        <v>46053</v>
      </c>
      <c r="B229" t="inlineStr">
        <is>
          <t>PL</t>
        </is>
      </c>
      <c r="C229" t="inlineStr">
        <is>
          <t>CC_CLASSIC</t>
        </is>
      </c>
      <c r="D229" t="n">
        <v>117</v>
      </c>
      <c r="E229" t="n">
        <v>67</v>
      </c>
      <c r="F229" t="n">
        <v>37</v>
      </c>
      <c r="G229" t="n">
        <v>11</v>
      </c>
      <c r="H229" t="n">
        <v>2</v>
      </c>
    </row>
    <row r="230">
      <c r="A230" s="5" t="n">
        <v>46053</v>
      </c>
      <c r="B230" t="inlineStr">
        <is>
          <t>PL</t>
        </is>
      </c>
      <c r="C230" t="inlineStr">
        <is>
          <t>CC_CONSOL</t>
        </is>
      </c>
      <c r="D230" t="n">
        <v>25</v>
      </c>
      <c r="E230" t="n">
        <v>11</v>
      </c>
      <c r="F230" t="n">
        <v>9</v>
      </c>
      <c r="G230" t="n">
        <v>1</v>
      </c>
      <c r="H230" t="n">
        <v>4</v>
      </c>
    </row>
    <row r="231">
      <c r="A231" s="5" t="n">
        <v>46053</v>
      </c>
      <c r="B231" t="inlineStr">
        <is>
          <t>PL</t>
        </is>
      </c>
      <c r="C231" t="inlineStr">
        <is>
          <t>CC_GOLD</t>
        </is>
      </c>
      <c r="D231" t="n">
        <v>32</v>
      </c>
      <c r="E231" t="n">
        <v>14</v>
      </c>
      <c r="F231" t="n">
        <v>11</v>
      </c>
      <c r="G231" t="n">
        <v>3</v>
      </c>
      <c r="H231" t="n">
        <v>4</v>
      </c>
    </row>
    <row r="232">
      <c r="A232" s="5" t="n">
        <v>46053</v>
      </c>
      <c r="B232" t="inlineStr">
        <is>
          <t>PL</t>
        </is>
      </c>
      <c r="C232" t="inlineStr">
        <is>
          <t>PL_PREM</t>
        </is>
      </c>
      <c r="D232" t="n">
        <v>44</v>
      </c>
      <c r="E232" t="n">
        <v>21</v>
      </c>
      <c r="F232" t="n">
        <v>20</v>
      </c>
      <c r="G232" t="n">
        <v>1</v>
      </c>
      <c r="H232" t="n">
        <v>2</v>
      </c>
    </row>
    <row r="233">
      <c r="A233" s="5" t="n">
        <v>46053</v>
      </c>
      <c r="B233" t="inlineStr">
        <is>
          <t>PL</t>
        </is>
      </c>
      <c r="C233" t="inlineStr">
        <is>
          <t>PL_STD</t>
        </is>
      </c>
      <c r="D233" t="n">
        <v>96</v>
      </c>
      <c r="E233" t="n">
        <v>54</v>
      </c>
      <c r="F233" t="n">
        <v>34</v>
      </c>
      <c r="G233" t="n">
        <v>4</v>
      </c>
      <c r="H233" t="n">
        <v>4</v>
      </c>
    </row>
    <row r="234">
      <c r="A234" s="5" t="n">
        <v>46053</v>
      </c>
      <c r="B234" t="inlineStr">
        <is>
          <t>RO</t>
        </is>
      </c>
      <c r="C234" t="inlineStr">
        <is>
          <t>CC_CLASSIC</t>
        </is>
      </c>
      <c r="D234" t="n">
        <v>59</v>
      </c>
      <c r="E234" t="n">
        <v>40</v>
      </c>
      <c r="F234" t="n">
        <v>14</v>
      </c>
      <c r="G234" t="n">
        <v>3</v>
      </c>
      <c r="H234" t="n">
        <v>2</v>
      </c>
    </row>
    <row r="235">
      <c r="A235" s="5" t="n">
        <v>46053</v>
      </c>
      <c r="B235" t="inlineStr">
        <is>
          <t>RO</t>
        </is>
      </c>
      <c r="C235" t="inlineStr">
        <is>
          <t>CC_CONSOL</t>
        </is>
      </c>
      <c r="D235" t="n">
        <v>22</v>
      </c>
      <c r="E235" t="n">
        <v>9</v>
      </c>
      <c r="F235" t="n">
        <v>11</v>
      </c>
      <c r="G235" t="n">
        <v>2</v>
      </c>
      <c r="H235" t="n">
        <v>0</v>
      </c>
    </row>
    <row r="236">
      <c r="A236" s="5" t="n">
        <v>46053</v>
      </c>
      <c r="B236" t="inlineStr">
        <is>
          <t>RO</t>
        </is>
      </c>
      <c r="C236" t="inlineStr">
        <is>
          <t>CC_GOLD</t>
        </is>
      </c>
      <c r="D236" t="n">
        <v>31</v>
      </c>
      <c r="E236" t="n">
        <v>16</v>
      </c>
      <c r="F236" t="n">
        <v>12</v>
      </c>
      <c r="G236" t="n">
        <v>1</v>
      </c>
      <c r="H236" t="n">
        <v>2</v>
      </c>
    </row>
    <row r="237">
      <c r="A237" s="5" t="n">
        <v>46053</v>
      </c>
      <c r="B237" t="inlineStr">
        <is>
          <t>RO</t>
        </is>
      </c>
      <c r="C237" t="inlineStr">
        <is>
          <t>PL_PREM</t>
        </is>
      </c>
      <c r="D237" t="n">
        <v>29</v>
      </c>
      <c r="E237" t="n">
        <v>17</v>
      </c>
      <c r="F237" t="n">
        <v>9</v>
      </c>
      <c r="G237" t="n">
        <v>2</v>
      </c>
      <c r="H237" t="n">
        <v>1</v>
      </c>
    </row>
    <row r="238">
      <c r="A238" s="5" t="n">
        <v>46053</v>
      </c>
      <c r="B238" t="inlineStr">
        <is>
          <t>RO</t>
        </is>
      </c>
      <c r="C238" t="inlineStr">
        <is>
          <t>PL_STD</t>
        </is>
      </c>
      <c r="D238" t="n">
        <v>72</v>
      </c>
      <c r="E238" t="n">
        <v>41</v>
      </c>
      <c r="F238" t="n">
        <v>27</v>
      </c>
      <c r="G238" t="n">
        <v>2</v>
      </c>
      <c r="H238" t="n">
        <v>2</v>
      </c>
    </row>
    <row r="239">
      <c r="A239" s="5" t="n">
        <v>46081</v>
      </c>
      <c r="B239" t="inlineStr">
        <is>
          <t>CZ</t>
        </is>
      </c>
      <c r="C239" t="inlineStr">
        <is>
          <t>CC_CLASSIC</t>
        </is>
      </c>
      <c r="D239" t="n">
        <v>85</v>
      </c>
      <c r="E239" t="n">
        <v>51</v>
      </c>
      <c r="F239" t="n">
        <v>31</v>
      </c>
      <c r="G239" t="n">
        <v>3</v>
      </c>
      <c r="H239" t="n">
        <v>0</v>
      </c>
    </row>
    <row r="240">
      <c r="A240" s="5" t="n">
        <v>46081</v>
      </c>
      <c r="B240" t="inlineStr">
        <is>
          <t>CZ</t>
        </is>
      </c>
      <c r="C240" t="inlineStr">
        <is>
          <t>CC_CONSOL</t>
        </is>
      </c>
      <c r="D240" t="n">
        <v>27</v>
      </c>
      <c r="E240" t="n">
        <v>17</v>
      </c>
      <c r="F240" t="n">
        <v>7</v>
      </c>
      <c r="G240" t="n">
        <v>3</v>
      </c>
      <c r="H240" t="n">
        <v>0</v>
      </c>
    </row>
    <row r="241">
      <c r="A241" s="5" t="n">
        <v>46081</v>
      </c>
      <c r="B241" t="inlineStr">
        <is>
          <t>CZ</t>
        </is>
      </c>
      <c r="C241" t="inlineStr">
        <is>
          <t>CC_GOLD</t>
        </is>
      </c>
      <c r="D241" t="n">
        <v>28</v>
      </c>
      <c r="E241" t="n">
        <v>9</v>
      </c>
      <c r="F241" t="n">
        <v>17</v>
      </c>
      <c r="G241" t="n">
        <v>0</v>
      </c>
      <c r="H241" t="n">
        <v>2</v>
      </c>
    </row>
    <row r="242">
      <c r="A242" s="5" t="n">
        <v>46081</v>
      </c>
      <c r="B242" t="inlineStr">
        <is>
          <t>CZ</t>
        </is>
      </c>
      <c r="C242" t="inlineStr">
        <is>
          <t>PL_PREM</t>
        </is>
      </c>
      <c r="D242" t="n">
        <v>33</v>
      </c>
      <c r="E242" t="n">
        <v>15</v>
      </c>
      <c r="F242" t="n">
        <v>15</v>
      </c>
      <c r="G242" t="n">
        <v>3</v>
      </c>
      <c r="H242" t="n">
        <v>0</v>
      </c>
    </row>
    <row r="243">
      <c r="A243" s="5" t="n">
        <v>46081</v>
      </c>
      <c r="B243" t="inlineStr">
        <is>
          <t>CZ</t>
        </is>
      </c>
      <c r="C243" t="inlineStr">
        <is>
          <t>PL_STD</t>
        </is>
      </c>
      <c r="D243" t="n">
        <v>72</v>
      </c>
      <c r="E243" t="n">
        <v>39</v>
      </c>
      <c r="F243" t="n">
        <v>27</v>
      </c>
      <c r="G243" t="n">
        <v>4</v>
      </c>
      <c r="H243" t="n">
        <v>2</v>
      </c>
    </row>
    <row r="244">
      <c r="A244" s="5" t="n">
        <v>46081</v>
      </c>
      <c r="B244" t="inlineStr">
        <is>
          <t>PL</t>
        </is>
      </c>
      <c r="C244" t="inlineStr">
        <is>
          <t>CC_CLASSIC</t>
        </is>
      </c>
      <c r="D244" t="n">
        <v>104</v>
      </c>
      <c r="E244" t="n">
        <v>65</v>
      </c>
      <c r="F244" t="n">
        <v>32</v>
      </c>
      <c r="G244" t="n">
        <v>5</v>
      </c>
      <c r="H244" t="n">
        <v>2</v>
      </c>
    </row>
    <row r="245">
      <c r="A245" s="5" t="n">
        <v>46081</v>
      </c>
      <c r="B245" t="inlineStr">
        <is>
          <t>PL</t>
        </is>
      </c>
      <c r="C245" t="inlineStr">
        <is>
          <t>CC_CONSOL</t>
        </is>
      </c>
      <c r="D245" t="n">
        <v>35</v>
      </c>
      <c r="E245" t="n">
        <v>13</v>
      </c>
      <c r="F245" t="n">
        <v>17</v>
      </c>
      <c r="G245" t="n">
        <v>3</v>
      </c>
      <c r="H245" t="n">
        <v>2</v>
      </c>
    </row>
    <row r="246">
      <c r="A246" s="5" t="n">
        <v>46081</v>
      </c>
      <c r="B246" t="inlineStr">
        <is>
          <t>PL</t>
        </is>
      </c>
      <c r="C246" t="inlineStr">
        <is>
          <t>CC_GOLD</t>
        </is>
      </c>
      <c r="D246" t="n">
        <v>42</v>
      </c>
      <c r="E246" t="n">
        <v>19</v>
      </c>
      <c r="F246" t="n">
        <v>19</v>
      </c>
      <c r="G246" t="n">
        <v>2</v>
      </c>
      <c r="H246" t="n">
        <v>2</v>
      </c>
    </row>
    <row r="247">
      <c r="A247" s="5" t="n">
        <v>46081</v>
      </c>
      <c r="B247" t="inlineStr">
        <is>
          <t>PL</t>
        </is>
      </c>
      <c r="C247" t="inlineStr">
        <is>
          <t>PL_PREM</t>
        </is>
      </c>
      <c r="D247" t="n">
        <v>40</v>
      </c>
      <c r="E247" t="n">
        <v>20</v>
      </c>
      <c r="F247" t="n">
        <v>16</v>
      </c>
      <c r="G247" t="n">
        <v>3</v>
      </c>
      <c r="H247" t="n">
        <v>1</v>
      </c>
    </row>
    <row r="248">
      <c r="A248" s="5" t="n">
        <v>46081</v>
      </c>
      <c r="B248" t="inlineStr">
        <is>
          <t>PL</t>
        </is>
      </c>
      <c r="C248" t="inlineStr">
        <is>
          <t>PL_STD</t>
        </is>
      </c>
      <c r="D248" t="n">
        <v>131</v>
      </c>
      <c r="E248" t="n">
        <v>66</v>
      </c>
      <c r="F248" t="n">
        <v>53</v>
      </c>
      <c r="G248" t="n">
        <v>5</v>
      </c>
      <c r="H248" t="n">
        <v>7</v>
      </c>
    </row>
    <row r="249">
      <c r="A249" s="5" t="n">
        <v>46081</v>
      </c>
      <c r="B249" t="inlineStr">
        <is>
          <t>RO</t>
        </is>
      </c>
      <c r="C249" t="inlineStr">
        <is>
          <t>CC_CLASSIC</t>
        </is>
      </c>
      <c r="D249" t="n">
        <v>78</v>
      </c>
      <c r="E249" t="n">
        <v>46</v>
      </c>
      <c r="F249" t="n">
        <v>23</v>
      </c>
      <c r="G249" t="n">
        <v>6</v>
      </c>
      <c r="H249" t="n">
        <v>3</v>
      </c>
    </row>
    <row r="250">
      <c r="A250" s="5" t="n">
        <v>46081</v>
      </c>
      <c r="B250" t="inlineStr">
        <is>
          <t>RO</t>
        </is>
      </c>
      <c r="C250" t="inlineStr">
        <is>
          <t>CC_CONSOL</t>
        </is>
      </c>
      <c r="D250" t="n">
        <v>28</v>
      </c>
      <c r="E250" t="n">
        <v>17</v>
      </c>
      <c r="F250" t="n">
        <v>9</v>
      </c>
      <c r="G250" t="n">
        <v>1</v>
      </c>
      <c r="H250" t="n">
        <v>1</v>
      </c>
    </row>
    <row r="251">
      <c r="A251" s="5" t="n">
        <v>46081</v>
      </c>
      <c r="B251" t="inlineStr">
        <is>
          <t>RO</t>
        </is>
      </c>
      <c r="C251" t="inlineStr">
        <is>
          <t>CC_GOLD</t>
        </is>
      </c>
      <c r="D251" t="n">
        <v>31</v>
      </c>
      <c r="E251" t="n">
        <v>17</v>
      </c>
      <c r="F251" t="n">
        <v>13</v>
      </c>
      <c r="G251" t="n">
        <v>0</v>
      </c>
      <c r="H251" t="n">
        <v>1</v>
      </c>
    </row>
    <row r="252">
      <c r="A252" s="5" t="n">
        <v>46081</v>
      </c>
      <c r="B252" t="inlineStr">
        <is>
          <t>RO</t>
        </is>
      </c>
      <c r="C252" t="inlineStr">
        <is>
          <t>PL_PREM</t>
        </is>
      </c>
      <c r="D252" t="n">
        <v>24</v>
      </c>
      <c r="E252" t="n">
        <v>12</v>
      </c>
      <c r="F252" t="n">
        <v>9</v>
      </c>
      <c r="G252" t="n">
        <v>1</v>
      </c>
      <c r="H252" t="n">
        <v>2</v>
      </c>
    </row>
    <row r="253">
      <c r="A253" s="5" t="n">
        <v>46081</v>
      </c>
      <c r="B253" t="inlineStr">
        <is>
          <t>RO</t>
        </is>
      </c>
      <c r="C253" t="inlineStr">
        <is>
          <t>PL_STD</t>
        </is>
      </c>
      <c r="D253" t="n">
        <v>69</v>
      </c>
      <c r="E253" t="n">
        <v>35</v>
      </c>
      <c r="F253" t="n">
        <v>26</v>
      </c>
      <c r="G253" t="n">
        <v>7</v>
      </c>
      <c r="H253" t="n">
        <v>1</v>
      </c>
    </row>
    <row r="254">
      <c r="A254" s="5" t="n">
        <v>46112</v>
      </c>
      <c r="B254" t="inlineStr">
        <is>
          <t>CZ</t>
        </is>
      </c>
      <c r="C254" t="inlineStr">
        <is>
          <t>CC_CLASSIC</t>
        </is>
      </c>
      <c r="D254" t="n">
        <v>75</v>
      </c>
      <c r="E254" t="n">
        <v>44</v>
      </c>
      <c r="F254" t="n">
        <v>22</v>
      </c>
      <c r="G254" t="n">
        <v>6</v>
      </c>
      <c r="H254" t="n">
        <v>3</v>
      </c>
    </row>
    <row r="255">
      <c r="A255" s="5" t="n">
        <v>46112</v>
      </c>
      <c r="B255" t="inlineStr">
        <is>
          <t>CZ</t>
        </is>
      </c>
      <c r="C255" t="inlineStr">
        <is>
          <t>CC_CONSOL</t>
        </is>
      </c>
      <c r="D255" t="n">
        <v>24</v>
      </c>
      <c r="E255" t="n">
        <v>9</v>
      </c>
      <c r="F255" t="n">
        <v>11</v>
      </c>
      <c r="G255" t="n">
        <v>2</v>
      </c>
      <c r="H255" t="n">
        <v>2</v>
      </c>
    </row>
    <row r="256">
      <c r="A256" s="5" t="n">
        <v>46112</v>
      </c>
      <c r="B256" t="inlineStr">
        <is>
          <t>CZ</t>
        </is>
      </c>
      <c r="C256" t="inlineStr">
        <is>
          <t>CC_GOLD</t>
        </is>
      </c>
      <c r="D256" t="n">
        <v>35</v>
      </c>
      <c r="E256" t="n">
        <v>18</v>
      </c>
      <c r="F256" t="n">
        <v>15</v>
      </c>
      <c r="G256" t="n">
        <v>2</v>
      </c>
      <c r="H256" t="n">
        <v>0</v>
      </c>
    </row>
    <row r="257">
      <c r="A257" s="5" t="n">
        <v>46112</v>
      </c>
      <c r="B257" t="inlineStr">
        <is>
          <t>CZ</t>
        </is>
      </c>
      <c r="C257" t="inlineStr">
        <is>
          <t>PL_PREM</t>
        </is>
      </c>
      <c r="D257" t="n">
        <v>31</v>
      </c>
      <c r="E257" t="n">
        <v>11</v>
      </c>
      <c r="F257" t="n">
        <v>20</v>
      </c>
      <c r="G257" t="n">
        <v>0</v>
      </c>
      <c r="H257" t="n">
        <v>0</v>
      </c>
    </row>
    <row r="258">
      <c r="A258" s="5" t="n">
        <v>46112</v>
      </c>
      <c r="B258" t="inlineStr">
        <is>
          <t>CZ</t>
        </is>
      </c>
      <c r="C258" t="inlineStr">
        <is>
          <t>PL_STD</t>
        </is>
      </c>
      <c r="D258" t="n">
        <v>94</v>
      </c>
      <c r="E258" t="n">
        <v>57</v>
      </c>
      <c r="F258" t="n">
        <v>31</v>
      </c>
      <c r="G258" t="n">
        <v>5</v>
      </c>
      <c r="H258" t="n">
        <v>1</v>
      </c>
    </row>
    <row r="259">
      <c r="A259" s="5" t="n">
        <v>46112</v>
      </c>
      <c r="B259" t="inlineStr">
        <is>
          <t>PL</t>
        </is>
      </c>
      <c r="C259" t="inlineStr">
        <is>
          <t>CC_CLASSIC</t>
        </is>
      </c>
      <c r="D259" t="n">
        <v>121</v>
      </c>
      <c r="E259" t="n">
        <v>70</v>
      </c>
      <c r="F259" t="n">
        <v>38</v>
      </c>
      <c r="G259" t="n">
        <v>8</v>
      </c>
      <c r="H259" t="n">
        <v>5</v>
      </c>
    </row>
    <row r="260">
      <c r="A260" s="5" t="n">
        <v>46112</v>
      </c>
      <c r="B260" t="inlineStr">
        <is>
          <t>PL</t>
        </is>
      </c>
      <c r="C260" t="inlineStr">
        <is>
          <t>CC_CONSOL</t>
        </is>
      </c>
      <c r="D260" t="n">
        <v>52</v>
      </c>
      <c r="E260" t="n">
        <v>29</v>
      </c>
      <c r="F260" t="n">
        <v>20</v>
      </c>
      <c r="G260" t="n">
        <v>1</v>
      </c>
      <c r="H260" t="n">
        <v>2</v>
      </c>
    </row>
    <row r="261">
      <c r="A261" s="5" t="n">
        <v>46112</v>
      </c>
      <c r="B261" t="inlineStr">
        <is>
          <t>PL</t>
        </is>
      </c>
      <c r="C261" t="inlineStr">
        <is>
          <t>CC_GOLD</t>
        </is>
      </c>
      <c r="D261" t="n">
        <v>51</v>
      </c>
      <c r="E261" t="n">
        <v>23</v>
      </c>
      <c r="F261" t="n">
        <v>24</v>
      </c>
      <c r="G261" t="n">
        <v>2</v>
      </c>
      <c r="H261" t="n">
        <v>2</v>
      </c>
    </row>
    <row r="262">
      <c r="A262" s="5" t="n">
        <v>46112</v>
      </c>
      <c r="B262" t="inlineStr">
        <is>
          <t>PL</t>
        </is>
      </c>
      <c r="C262" t="inlineStr">
        <is>
          <t>PL_PREM</t>
        </is>
      </c>
      <c r="D262" t="n">
        <v>72</v>
      </c>
      <c r="E262" t="n">
        <v>29</v>
      </c>
      <c r="F262" t="n">
        <v>34</v>
      </c>
      <c r="G262" t="n">
        <v>7</v>
      </c>
      <c r="H262" t="n">
        <v>2</v>
      </c>
    </row>
    <row r="263">
      <c r="A263" s="5" t="n">
        <v>46112</v>
      </c>
      <c r="B263" t="inlineStr">
        <is>
          <t>PL</t>
        </is>
      </c>
      <c r="C263" t="inlineStr">
        <is>
          <t>PL_STD</t>
        </is>
      </c>
      <c r="D263" t="n">
        <v>116</v>
      </c>
      <c r="E263" t="n">
        <v>65</v>
      </c>
      <c r="F263" t="n">
        <v>40</v>
      </c>
      <c r="G263" t="n">
        <v>6</v>
      </c>
      <c r="H263" t="n">
        <v>5</v>
      </c>
    </row>
    <row r="264">
      <c r="A264" s="5" t="n">
        <v>46112</v>
      </c>
      <c r="B264" t="inlineStr">
        <is>
          <t>RO</t>
        </is>
      </c>
      <c r="C264" t="inlineStr">
        <is>
          <t>CC_CLASSIC</t>
        </is>
      </c>
      <c r="D264" t="n">
        <v>69</v>
      </c>
      <c r="E264" t="n">
        <v>38</v>
      </c>
      <c r="F264" t="n">
        <v>28</v>
      </c>
      <c r="G264" t="n">
        <v>3</v>
      </c>
      <c r="H264" t="n">
        <v>0</v>
      </c>
    </row>
    <row r="265">
      <c r="A265" s="5" t="n">
        <v>46112</v>
      </c>
      <c r="B265" t="inlineStr">
        <is>
          <t>RO</t>
        </is>
      </c>
      <c r="C265" t="inlineStr">
        <is>
          <t>CC_CONSOL</t>
        </is>
      </c>
      <c r="D265" t="n">
        <v>30</v>
      </c>
      <c r="E265" t="n">
        <v>10</v>
      </c>
      <c r="F265" t="n">
        <v>15</v>
      </c>
      <c r="G265" t="n">
        <v>3</v>
      </c>
      <c r="H265" t="n">
        <v>2</v>
      </c>
    </row>
    <row r="266">
      <c r="A266" s="5" t="n">
        <v>46112</v>
      </c>
      <c r="B266" t="inlineStr">
        <is>
          <t>RO</t>
        </is>
      </c>
      <c r="C266" t="inlineStr">
        <is>
          <t>CC_GOLD</t>
        </is>
      </c>
      <c r="D266" t="n">
        <v>34</v>
      </c>
      <c r="E266" t="n">
        <v>16</v>
      </c>
      <c r="F266" t="n">
        <v>17</v>
      </c>
      <c r="G266" t="n">
        <v>1</v>
      </c>
      <c r="H266" t="n">
        <v>0</v>
      </c>
    </row>
    <row r="267">
      <c r="A267" s="5" t="n">
        <v>46112</v>
      </c>
      <c r="B267" t="inlineStr">
        <is>
          <t>RO</t>
        </is>
      </c>
      <c r="C267" t="inlineStr">
        <is>
          <t>PL_PREM</t>
        </is>
      </c>
      <c r="D267" t="n">
        <v>33</v>
      </c>
      <c r="E267" t="n">
        <v>12</v>
      </c>
      <c r="F267" t="n">
        <v>17</v>
      </c>
      <c r="G267" t="n">
        <v>1</v>
      </c>
      <c r="H267" t="n">
        <v>3</v>
      </c>
    </row>
    <row r="268">
      <c r="A268" s="5" t="n">
        <v>46112</v>
      </c>
      <c r="B268" t="inlineStr">
        <is>
          <t>RO</t>
        </is>
      </c>
      <c r="C268" t="inlineStr">
        <is>
          <t>PL_STD</t>
        </is>
      </c>
      <c r="D268" t="n">
        <v>70</v>
      </c>
      <c r="E268" t="n">
        <v>33</v>
      </c>
      <c r="F268" t="n">
        <v>31</v>
      </c>
      <c r="G268" t="n">
        <v>5</v>
      </c>
      <c r="H268" t="n">
        <v>1</v>
      </c>
    </row>
    <row r="269">
      <c r="A269" s="5" t="n">
        <v>46142</v>
      </c>
      <c r="B269" t="inlineStr">
        <is>
          <t>CZ</t>
        </is>
      </c>
      <c r="C269" t="inlineStr">
        <is>
          <t>CC_CLASSIC</t>
        </is>
      </c>
      <c r="D269" t="n">
        <v>95</v>
      </c>
      <c r="E269" t="n">
        <v>58</v>
      </c>
      <c r="F269" t="n">
        <v>31</v>
      </c>
      <c r="G269" t="n">
        <v>3</v>
      </c>
      <c r="H269" t="n">
        <v>3</v>
      </c>
    </row>
    <row r="270">
      <c r="A270" s="5" t="n">
        <v>46142</v>
      </c>
      <c r="B270" t="inlineStr">
        <is>
          <t>CZ</t>
        </is>
      </c>
      <c r="C270" t="inlineStr">
        <is>
          <t>CC_CONSOL</t>
        </is>
      </c>
      <c r="D270" t="n">
        <v>23</v>
      </c>
      <c r="E270" t="n">
        <v>12</v>
      </c>
      <c r="F270" t="n">
        <v>8</v>
      </c>
      <c r="G270" t="n">
        <v>1</v>
      </c>
      <c r="H270" t="n">
        <v>2</v>
      </c>
    </row>
    <row r="271">
      <c r="A271" s="5" t="n">
        <v>46142</v>
      </c>
      <c r="B271" t="inlineStr">
        <is>
          <t>CZ</t>
        </is>
      </c>
      <c r="C271" t="inlineStr">
        <is>
          <t>CC_GOLD</t>
        </is>
      </c>
      <c r="D271" t="n">
        <v>41</v>
      </c>
      <c r="E271" t="n">
        <v>15</v>
      </c>
      <c r="F271" t="n">
        <v>21</v>
      </c>
      <c r="G271" t="n">
        <v>3</v>
      </c>
      <c r="H271" t="n">
        <v>2</v>
      </c>
    </row>
    <row r="272">
      <c r="A272" s="5" t="n">
        <v>46142</v>
      </c>
      <c r="B272" t="inlineStr">
        <is>
          <t>CZ</t>
        </is>
      </c>
      <c r="C272" t="inlineStr">
        <is>
          <t>PL_PREM</t>
        </is>
      </c>
      <c r="D272" t="n">
        <v>33</v>
      </c>
      <c r="E272" t="n">
        <v>15</v>
      </c>
      <c r="F272" t="n">
        <v>13</v>
      </c>
      <c r="G272" t="n">
        <v>2</v>
      </c>
      <c r="H272" t="n">
        <v>3</v>
      </c>
    </row>
    <row r="273">
      <c r="A273" s="5" t="n">
        <v>46142</v>
      </c>
      <c r="B273" t="inlineStr">
        <is>
          <t>CZ</t>
        </is>
      </c>
      <c r="C273" t="inlineStr">
        <is>
          <t>PL_STD</t>
        </is>
      </c>
      <c r="D273" t="n">
        <v>102</v>
      </c>
      <c r="E273" t="n">
        <v>56</v>
      </c>
      <c r="F273" t="n">
        <v>36</v>
      </c>
      <c r="G273" t="n">
        <v>6</v>
      </c>
      <c r="H273" t="n">
        <v>4</v>
      </c>
    </row>
    <row r="274">
      <c r="A274" s="5" t="n">
        <v>46142</v>
      </c>
      <c r="B274" t="inlineStr">
        <is>
          <t>PL</t>
        </is>
      </c>
      <c r="C274" t="inlineStr">
        <is>
          <t>CC_CLASSIC</t>
        </is>
      </c>
      <c r="D274" t="n">
        <v>131</v>
      </c>
      <c r="E274" t="n">
        <v>75</v>
      </c>
      <c r="F274" t="n">
        <v>40</v>
      </c>
      <c r="G274" t="n">
        <v>7</v>
      </c>
      <c r="H274" t="n">
        <v>9</v>
      </c>
    </row>
    <row r="275">
      <c r="A275" s="5" t="n">
        <v>46142</v>
      </c>
      <c r="B275" t="inlineStr">
        <is>
          <t>PL</t>
        </is>
      </c>
      <c r="C275" t="inlineStr">
        <is>
          <t>CC_CONSOL</t>
        </is>
      </c>
      <c r="D275" t="n">
        <v>34</v>
      </c>
      <c r="E275" t="n">
        <v>17</v>
      </c>
      <c r="F275" t="n">
        <v>12</v>
      </c>
      <c r="G275" t="n">
        <v>1</v>
      </c>
      <c r="H275" t="n">
        <v>4</v>
      </c>
    </row>
    <row r="276">
      <c r="A276" s="5" t="n">
        <v>46142</v>
      </c>
      <c r="B276" t="inlineStr">
        <is>
          <t>PL</t>
        </is>
      </c>
      <c r="C276" t="inlineStr">
        <is>
          <t>CC_GOLD</t>
        </is>
      </c>
      <c r="D276" t="n">
        <v>45</v>
      </c>
      <c r="E276" t="n">
        <v>13</v>
      </c>
      <c r="F276" t="n">
        <v>26</v>
      </c>
      <c r="G276" t="n">
        <v>2</v>
      </c>
      <c r="H276" t="n">
        <v>4</v>
      </c>
    </row>
    <row r="277">
      <c r="A277" s="5" t="n">
        <v>46142</v>
      </c>
      <c r="B277" t="inlineStr">
        <is>
          <t>PL</t>
        </is>
      </c>
      <c r="C277" t="inlineStr">
        <is>
          <t>PL_PREM</t>
        </is>
      </c>
      <c r="D277" t="n">
        <v>58</v>
      </c>
      <c r="E277" t="n">
        <v>22</v>
      </c>
      <c r="F277" t="n">
        <v>25</v>
      </c>
      <c r="G277" t="n">
        <v>5</v>
      </c>
      <c r="H277" t="n">
        <v>6</v>
      </c>
    </row>
    <row r="278">
      <c r="A278" s="5" t="n">
        <v>46142</v>
      </c>
      <c r="B278" t="inlineStr">
        <is>
          <t>PL</t>
        </is>
      </c>
      <c r="C278" t="inlineStr">
        <is>
          <t>PL_STD</t>
        </is>
      </c>
      <c r="D278" t="n">
        <v>145</v>
      </c>
      <c r="E278" t="n">
        <v>83</v>
      </c>
      <c r="F278" t="n">
        <v>50</v>
      </c>
      <c r="G278" t="n">
        <v>5</v>
      </c>
      <c r="H278" t="n">
        <v>7</v>
      </c>
    </row>
    <row r="279">
      <c r="A279" s="5" t="n">
        <v>46142</v>
      </c>
      <c r="B279" t="inlineStr">
        <is>
          <t>RO</t>
        </is>
      </c>
      <c r="C279" t="inlineStr">
        <is>
          <t>CC_CLASSIC</t>
        </is>
      </c>
      <c r="D279" t="n">
        <v>70</v>
      </c>
      <c r="E279" t="n">
        <v>38</v>
      </c>
      <c r="F279" t="n">
        <v>26</v>
      </c>
      <c r="G279" t="n">
        <v>3</v>
      </c>
      <c r="H279" t="n">
        <v>3</v>
      </c>
    </row>
    <row r="280">
      <c r="A280" s="5" t="n">
        <v>46142</v>
      </c>
      <c r="B280" t="inlineStr">
        <is>
          <t>RO</t>
        </is>
      </c>
      <c r="C280" t="inlineStr">
        <is>
          <t>CC_CONSOL</t>
        </is>
      </c>
      <c r="D280" t="n">
        <v>24</v>
      </c>
      <c r="E280" t="n">
        <v>14</v>
      </c>
      <c r="F280" t="n">
        <v>9</v>
      </c>
      <c r="G280" t="n">
        <v>0</v>
      </c>
      <c r="H280" t="n">
        <v>1</v>
      </c>
    </row>
    <row r="281">
      <c r="A281" s="5" t="n">
        <v>46142</v>
      </c>
      <c r="B281" t="inlineStr">
        <is>
          <t>RO</t>
        </is>
      </c>
      <c r="C281" t="inlineStr">
        <is>
          <t>CC_GOLD</t>
        </is>
      </c>
      <c r="D281" t="n">
        <v>30</v>
      </c>
      <c r="E281" t="n">
        <v>9</v>
      </c>
      <c r="F281" t="n">
        <v>18</v>
      </c>
      <c r="G281" t="n">
        <v>1</v>
      </c>
      <c r="H281" t="n">
        <v>2</v>
      </c>
    </row>
    <row r="282">
      <c r="A282" s="5" t="n">
        <v>46142</v>
      </c>
      <c r="B282" t="inlineStr">
        <is>
          <t>RO</t>
        </is>
      </c>
      <c r="C282" t="inlineStr">
        <is>
          <t>PL_PREM</t>
        </is>
      </c>
      <c r="D282" t="n">
        <v>31</v>
      </c>
      <c r="E282" t="n">
        <v>15</v>
      </c>
      <c r="F282" t="n">
        <v>13</v>
      </c>
      <c r="G282" t="n">
        <v>0</v>
      </c>
      <c r="H282" t="n">
        <v>3</v>
      </c>
    </row>
    <row r="283">
      <c r="A283" s="5" t="n">
        <v>46142</v>
      </c>
      <c r="B283" t="inlineStr">
        <is>
          <t>RO</t>
        </is>
      </c>
      <c r="C283" t="inlineStr">
        <is>
          <t>PL_STD</t>
        </is>
      </c>
      <c r="D283" t="n">
        <v>77</v>
      </c>
      <c r="E283" t="n">
        <v>38</v>
      </c>
      <c r="F283" t="n">
        <v>30</v>
      </c>
      <c r="G283" t="n">
        <v>5</v>
      </c>
      <c r="H283" t="n">
        <v>4</v>
      </c>
    </row>
    <row r="284">
      <c r="A284" s="5" t="n">
        <v>46173</v>
      </c>
      <c r="B284" t="inlineStr">
        <is>
          <t>CZ</t>
        </is>
      </c>
      <c r="C284" t="inlineStr">
        <is>
          <t>CC_CLASSIC</t>
        </is>
      </c>
      <c r="D284" t="n">
        <v>85</v>
      </c>
      <c r="E284" t="n">
        <v>45</v>
      </c>
      <c r="F284" t="n">
        <v>32</v>
      </c>
      <c r="G284" t="n">
        <v>5</v>
      </c>
      <c r="H284" t="n">
        <v>3</v>
      </c>
    </row>
    <row r="285">
      <c r="A285" s="5" t="n">
        <v>46173</v>
      </c>
      <c r="B285" t="inlineStr">
        <is>
          <t>CZ</t>
        </is>
      </c>
      <c r="C285" t="inlineStr">
        <is>
          <t>CC_CONSOL</t>
        </is>
      </c>
      <c r="D285" t="n">
        <v>32</v>
      </c>
      <c r="E285" t="n">
        <v>14</v>
      </c>
      <c r="F285" t="n">
        <v>12</v>
      </c>
      <c r="G285" t="n">
        <v>4</v>
      </c>
      <c r="H285" t="n">
        <v>2</v>
      </c>
    </row>
    <row r="286">
      <c r="A286" s="5" t="n">
        <v>46173</v>
      </c>
      <c r="B286" t="inlineStr">
        <is>
          <t>CZ</t>
        </is>
      </c>
      <c r="C286" t="inlineStr">
        <is>
          <t>CC_GOLD</t>
        </is>
      </c>
      <c r="D286" t="n">
        <v>40</v>
      </c>
      <c r="E286" t="n">
        <v>14</v>
      </c>
      <c r="F286" t="n">
        <v>20</v>
      </c>
      <c r="G286" t="n">
        <v>2</v>
      </c>
      <c r="H286" t="n">
        <v>4</v>
      </c>
    </row>
    <row r="287">
      <c r="A287" s="5" t="n">
        <v>46173</v>
      </c>
      <c r="B287" t="inlineStr">
        <is>
          <t>CZ</t>
        </is>
      </c>
      <c r="C287" t="inlineStr">
        <is>
          <t>PL_PREM</t>
        </is>
      </c>
      <c r="D287" t="n">
        <v>41</v>
      </c>
      <c r="E287" t="n">
        <v>18</v>
      </c>
      <c r="F287" t="n">
        <v>17</v>
      </c>
      <c r="G287" t="n">
        <v>5</v>
      </c>
      <c r="H287" t="n">
        <v>1</v>
      </c>
    </row>
    <row r="288">
      <c r="A288" s="5" t="n">
        <v>46173</v>
      </c>
      <c r="B288" t="inlineStr">
        <is>
          <t>CZ</t>
        </is>
      </c>
      <c r="C288" t="inlineStr">
        <is>
          <t>PL_STD</t>
        </is>
      </c>
      <c r="D288" t="n">
        <v>107</v>
      </c>
      <c r="E288" t="n">
        <v>54</v>
      </c>
      <c r="F288" t="n">
        <v>43</v>
      </c>
      <c r="G288" t="n">
        <v>3</v>
      </c>
      <c r="H288" t="n">
        <v>7</v>
      </c>
    </row>
    <row r="289">
      <c r="A289" s="5" t="n">
        <v>46173</v>
      </c>
      <c r="B289" t="inlineStr">
        <is>
          <t>PL</t>
        </is>
      </c>
      <c r="C289" t="inlineStr">
        <is>
          <t>CC_CLASSIC</t>
        </is>
      </c>
      <c r="D289" t="n">
        <v>132</v>
      </c>
      <c r="E289" t="n">
        <v>81</v>
      </c>
      <c r="F289" t="n">
        <v>39</v>
      </c>
      <c r="G289" t="n">
        <v>4</v>
      </c>
      <c r="H289" t="n">
        <v>8</v>
      </c>
    </row>
    <row r="290">
      <c r="A290" s="5" t="n">
        <v>46173</v>
      </c>
      <c r="B290" t="inlineStr">
        <is>
          <t>PL</t>
        </is>
      </c>
      <c r="C290" t="inlineStr">
        <is>
          <t>CC_CONSOL</t>
        </is>
      </c>
      <c r="D290" t="n">
        <v>37</v>
      </c>
      <c r="E290" t="n">
        <v>13</v>
      </c>
      <c r="F290" t="n">
        <v>21</v>
      </c>
      <c r="G290" t="n">
        <v>2</v>
      </c>
      <c r="H290" t="n">
        <v>1</v>
      </c>
    </row>
    <row r="291">
      <c r="A291" s="5" t="n">
        <v>46173</v>
      </c>
      <c r="B291" t="inlineStr">
        <is>
          <t>PL</t>
        </is>
      </c>
      <c r="C291" t="inlineStr">
        <is>
          <t>CC_GOLD</t>
        </is>
      </c>
      <c r="D291" t="n">
        <v>55</v>
      </c>
      <c r="E291" t="n">
        <v>18</v>
      </c>
      <c r="F291" t="n">
        <v>28</v>
      </c>
      <c r="G291" t="n">
        <v>6</v>
      </c>
      <c r="H291" t="n">
        <v>3</v>
      </c>
    </row>
    <row r="292">
      <c r="A292" s="5" t="n">
        <v>46173</v>
      </c>
      <c r="B292" t="inlineStr">
        <is>
          <t>PL</t>
        </is>
      </c>
      <c r="C292" t="inlineStr">
        <is>
          <t>PL_PREM</t>
        </is>
      </c>
      <c r="D292" t="n">
        <v>56</v>
      </c>
      <c r="E292" t="n">
        <v>31</v>
      </c>
      <c r="F292" t="n">
        <v>20</v>
      </c>
      <c r="G292" t="n">
        <v>3</v>
      </c>
      <c r="H292" t="n">
        <v>2</v>
      </c>
    </row>
    <row r="293">
      <c r="A293" s="5" t="n">
        <v>46173</v>
      </c>
      <c r="B293" t="inlineStr">
        <is>
          <t>PL</t>
        </is>
      </c>
      <c r="C293" t="inlineStr">
        <is>
          <t>PL_STD</t>
        </is>
      </c>
      <c r="D293" t="n">
        <v>141</v>
      </c>
      <c r="E293" t="n">
        <v>74</v>
      </c>
      <c r="F293" t="n">
        <v>51</v>
      </c>
      <c r="G293" t="n">
        <v>9</v>
      </c>
      <c r="H293" t="n">
        <v>7</v>
      </c>
    </row>
    <row r="294">
      <c r="A294" s="5" t="n">
        <v>46173</v>
      </c>
      <c r="B294" t="inlineStr">
        <is>
          <t>RO</t>
        </is>
      </c>
      <c r="C294" t="inlineStr">
        <is>
          <t>CC_CLASSIC</t>
        </is>
      </c>
      <c r="D294" t="n">
        <v>66</v>
      </c>
      <c r="E294" t="n">
        <v>47</v>
      </c>
      <c r="F294" t="n">
        <v>17</v>
      </c>
      <c r="G294" t="n">
        <v>1</v>
      </c>
      <c r="H294" t="n">
        <v>1</v>
      </c>
    </row>
    <row r="295">
      <c r="A295" s="5" t="n">
        <v>46173</v>
      </c>
      <c r="B295" t="inlineStr">
        <is>
          <t>RO</t>
        </is>
      </c>
      <c r="C295" t="inlineStr">
        <is>
          <t>CC_CONSOL</t>
        </is>
      </c>
      <c r="D295" t="n">
        <v>25</v>
      </c>
      <c r="E295" t="n">
        <v>11</v>
      </c>
      <c r="F295" t="n">
        <v>10</v>
      </c>
      <c r="G295" t="n">
        <v>0</v>
      </c>
      <c r="H295" t="n">
        <v>4</v>
      </c>
    </row>
    <row r="296">
      <c r="A296" s="5" t="n">
        <v>46173</v>
      </c>
      <c r="B296" t="inlineStr">
        <is>
          <t>RO</t>
        </is>
      </c>
      <c r="C296" t="inlineStr">
        <is>
          <t>CC_GOLD</t>
        </is>
      </c>
      <c r="D296" t="n">
        <v>27</v>
      </c>
      <c r="E296" t="n">
        <v>13</v>
      </c>
      <c r="F296" t="n">
        <v>7</v>
      </c>
      <c r="G296" t="n">
        <v>3</v>
      </c>
      <c r="H296" t="n">
        <v>4</v>
      </c>
    </row>
    <row r="297">
      <c r="A297" s="5" t="n">
        <v>46173</v>
      </c>
      <c r="B297" t="inlineStr">
        <is>
          <t>RO</t>
        </is>
      </c>
      <c r="C297" t="inlineStr">
        <is>
          <t>PL_PREM</t>
        </is>
      </c>
      <c r="D297" t="n">
        <v>39</v>
      </c>
      <c r="E297" t="n">
        <v>12</v>
      </c>
      <c r="F297" t="n">
        <v>22</v>
      </c>
      <c r="G297" t="n">
        <v>2</v>
      </c>
      <c r="H297" t="n">
        <v>3</v>
      </c>
    </row>
    <row r="298">
      <c r="A298" s="5" t="n">
        <v>46173</v>
      </c>
      <c r="B298" t="inlineStr">
        <is>
          <t>RO</t>
        </is>
      </c>
      <c r="C298" t="inlineStr">
        <is>
          <t>PL_STD</t>
        </is>
      </c>
      <c r="D298" t="n">
        <v>82</v>
      </c>
      <c r="E298" t="n">
        <v>43</v>
      </c>
      <c r="F298" t="n">
        <v>33</v>
      </c>
      <c r="G298" t="n">
        <v>6</v>
      </c>
      <c r="H298" t="n">
        <v>0</v>
      </c>
    </row>
    <row r="299">
      <c r="A299" s="5" t="n">
        <v>46203</v>
      </c>
      <c r="B299" t="inlineStr">
        <is>
          <t>CZ</t>
        </is>
      </c>
      <c r="C299" t="inlineStr">
        <is>
          <t>CC_CLASSIC</t>
        </is>
      </c>
      <c r="D299" t="n">
        <v>87</v>
      </c>
      <c r="E299" t="n">
        <v>51</v>
      </c>
      <c r="F299" t="n">
        <v>28</v>
      </c>
      <c r="G299" t="n">
        <v>3</v>
      </c>
      <c r="H299" t="n">
        <v>5</v>
      </c>
    </row>
    <row r="300">
      <c r="A300" s="5" t="n">
        <v>46203</v>
      </c>
      <c r="B300" t="inlineStr">
        <is>
          <t>CZ</t>
        </is>
      </c>
      <c r="C300" t="inlineStr">
        <is>
          <t>CC_CONSOL</t>
        </is>
      </c>
      <c r="D300" t="n">
        <v>39</v>
      </c>
      <c r="E300" t="n">
        <v>15</v>
      </c>
      <c r="F300" t="n">
        <v>21</v>
      </c>
      <c r="G300" t="n">
        <v>2</v>
      </c>
      <c r="H300" t="n">
        <v>1</v>
      </c>
    </row>
    <row r="301">
      <c r="A301" s="5" t="n">
        <v>46203</v>
      </c>
      <c r="B301" t="inlineStr">
        <is>
          <t>CZ</t>
        </is>
      </c>
      <c r="C301" t="inlineStr">
        <is>
          <t>CC_GOLD</t>
        </is>
      </c>
      <c r="D301" t="n">
        <v>28</v>
      </c>
      <c r="E301" t="n">
        <v>11</v>
      </c>
      <c r="F301" t="n">
        <v>14</v>
      </c>
      <c r="G301" t="n">
        <v>1</v>
      </c>
      <c r="H301" t="n">
        <v>2</v>
      </c>
    </row>
    <row r="302">
      <c r="A302" s="5" t="n">
        <v>46203</v>
      </c>
      <c r="B302" t="inlineStr">
        <is>
          <t>CZ</t>
        </is>
      </c>
      <c r="C302" t="inlineStr">
        <is>
          <t>PL_PREM</t>
        </is>
      </c>
      <c r="D302" t="n">
        <v>35</v>
      </c>
      <c r="E302" t="n">
        <v>16</v>
      </c>
      <c r="F302" t="n">
        <v>16</v>
      </c>
      <c r="G302" t="n">
        <v>2</v>
      </c>
      <c r="H302" t="n">
        <v>1</v>
      </c>
    </row>
    <row r="303">
      <c r="A303" s="5" t="n">
        <v>46203</v>
      </c>
      <c r="B303" t="inlineStr">
        <is>
          <t>CZ</t>
        </is>
      </c>
      <c r="C303" t="inlineStr">
        <is>
          <t>PL_STD</t>
        </is>
      </c>
      <c r="D303" t="n">
        <v>96</v>
      </c>
      <c r="E303" t="n">
        <v>52</v>
      </c>
      <c r="F303" t="n">
        <v>35</v>
      </c>
      <c r="G303" t="n">
        <v>4</v>
      </c>
      <c r="H303" t="n">
        <v>5</v>
      </c>
    </row>
    <row r="304">
      <c r="A304" s="5" t="n">
        <v>46203</v>
      </c>
      <c r="B304" t="inlineStr">
        <is>
          <t>PL</t>
        </is>
      </c>
      <c r="C304" t="inlineStr">
        <is>
          <t>CC_CLASSIC</t>
        </is>
      </c>
      <c r="D304" t="n">
        <v>123</v>
      </c>
      <c r="E304" t="n">
        <v>70</v>
      </c>
      <c r="F304" t="n">
        <v>37</v>
      </c>
      <c r="G304" t="n">
        <v>9</v>
      </c>
      <c r="H304" t="n">
        <v>7</v>
      </c>
    </row>
    <row r="305">
      <c r="A305" s="5" t="n">
        <v>46203</v>
      </c>
      <c r="B305" t="inlineStr">
        <is>
          <t>PL</t>
        </is>
      </c>
      <c r="C305" t="inlineStr">
        <is>
          <t>CC_CONSOL</t>
        </is>
      </c>
      <c r="D305" t="n">
        <v>48</v>
      </c>
      <c r="E305" t="n">
        <v>24</v>
      </c>
      <c r="F305" t="n">
        <v>17</v>
      </c>
      <c r="G305" t="n">
        <v>4</v>
      </c>
      <c r="H305" t="n">
        <v>3</v>
      </c>
    </row>
    <row r="306">
      <c r="A306" s="5" t="n">
        <v>46203</v>
      </c>
      <c r="B306" t="inlineStr">
        <is>
          <t>PL</t>
        </is>
      </c>
      <c r="C306" t="inlineStr">
        <is>
          <t>CC_GOLD</t>
        </is>
      </c>
      <c r="D306" t="n">
        <v>54</v>
      </c>
      <c r="E306" t="n">
        <v>20</v>
      </c>
      <c r="F306" t="n">
        <v>27</v>
      </c>
      <c r="G306" t="n">
        <v>5</v>
      </c>
      <c r="H306" t="n">
        <v>2</v>
      </c>
    </row>
    <row r="307">
      <c r="A307" s="5" t="n">
        <v>46203</v>
      </c>
      <c r="B307" t="inlineStr">
        <is>
          <t>PL</t>
        </is>
      </c>
      <c r="C307" t="inlineStr">
        <is>
          <t>PL_PREM</t>
        </is>
      </c>
      <c r="D307" t="n">
        <v>51</v>
      </c>
      <c r="E307" t="n">
        <v>20</v>
      </c>
      <c r="F307" t="n">
        <v>28</v>
      </c>
      <c r="G307" t="n">
        <v>2</v>
      </c>
      <c r="H307" t="n">
        <v>1</v>
      </c>
    </row>
    <row r="308">
      <c r="A308" s="5" t="n">
        <v>46203</v>
      </c>
      <c r="B308" t="inlineStr">
        <is>
          <t>PL</t>
        </is>
      </c>
      <c r="C308" t="inlineStr">
        <is>
          <t>PL_STD</t>
        </is>
      </c>
      <c r="D308" t="n">
        <v>128</v>
      </c>
      <c r="E308" t="n">
        <v>65</v>
      </c>
      <c r="F308" t="n">
        <v>45</v>
      </c>
      <c r="G308" t="n">
        <v>8</v>
      </c>
      <c r="H308" t="n">
        <v>10</v>
      </c>
    </row>
    <row r="309">
      <c r="A309" s="5" t="n">
        <v>46203</v>
      </c>
      <c r="B309" t="inlineStr">
        <is>
          <t>RO</t>
        </is>
      </c>
      <c r="C309" t="inlineStr">
        <is>
          <t>CC_CLASSIC</t>
        </is>
      </c>
      <c r="D309" t="n">
        <v>69</v>
      </c>
      <c r="E309" t="n">
        <v>37</v>
      </c>
      <c r="F309" t="n">
        <v>27</v>
      </c>
      <c r="G309" t="n">
        <v>5</v>
      </c>
      <c r="H309" t="n">
        <v>0</v>
      </c>
    </row>
    <row r="310">
      <c r="A310" s="5" t="n">
        <v>46203</v>
      </c>
      <c r="B310" t="inlineStr">
        <is>
          <t>RO</t>
        </is>
      </c>
      <c r="C310" t="inlineStr">
        <is>
          <t>CC_CONSOL</t>
        </is>
      </c>
      <c r="D310" t="n">
        <v>19</v>
      </c>
      <c r="E310" t="n">
        <v>9</v>
      </c>
      <c r="F310" t="n">
        <v>8</v>
      </c>
      <c r="G310" t="n">
        <v>2</v>
      </c>
      <c r="H310" t="n">
        <v>0</v>
      </c>
    </row>
    <row r="311">
      <c r="A311" s="5" t="n">
        <v>46203</v>
      </c>
      <c r="B311" t="inlineStr">
        <is>
          <t>RO</t>
        </is>
      </c>
      <c r="C311" t="inlineStr">
        <is>
          <t>CC_GOLD</t>
        </is>
      </c>
      <c r="D311" t="n">
        <v>30</v>
      </c>
      <c r="E311" t="n">
        <v>13</v>
      </c>
      <c r="F311" t="n">
        <v>14</v>
      </c>
      <c r="G311" t="n">
        <v>3</v>
      </c>
      <c r="H311" t="n">
        <v>0</v>
      </c>
    </row>
    <row r="312">
      <c r="A312" s="5" t="n">
        <v>46203</v>
      </c>
      <c r="B312" t="inlineStr">
        <is>
          <t>RO</t>
        </is>
      </c>
      <c r="C312" t="inlineStr">
        <is>
          <t>PL_PREM</t>
        </is>
      </c>
      <c r="D312" t="n">
        <v>35</v>
      </c>
      <c r="E312" t="n">
        <v>15</v>
      </c>
      <c r="F312" t="n">
        <v>19</v>
      </c>
      <c r="G312" t="n">
        <v>1</v>
      </c>
      <c r="H312" t="n">
        <v>0</v>
      </c>
    </row>
    <row r="313">
      <c r="A313" s="5" t="n">
        <v>46203</v>
      </c>
      <c r="B313" t="inlineStr">
        <is>
          <t>RO</t>
        </is>
      </c>
      <c r="C313" t="inlineStr">
        <is>
          <t>PL_STD</t>
        </is>
      </c>
      <c r="D313" t="n">
        <v>79</v>
      </c>
      <c r="E313" t="n">
        <v>46</v>
      </c>
      <c r="F313" t="n">
        <v>24</v>
      </c>
      <c r="G313" t="n">
        <v>3</v>
      </c>
      <c r="H313" t="n">
        <v>6</v>
      </c>
    </row>
    <row r="314">
      <c r="A314" s="5" t="n">
        <v>46234</v>
      </c>
      <c r="B314" t="inlineStr">
        <is>
          <t>CZ</t>
        </is>
      </c>
      <c r="C314" t="inlineStr">
        <is>
          <t>CC_CLASSIC</t>
        </is>
      </c>
      <c r="D314" t="n">
        <v>80</v>
      </c>
      <c r="E314" t="n">
        <v>41</v>
      </c>
      <c r="F314" t="n">
        <v>30</v>
      </c>
      <c r="G314" t="n">
        <v>7</v>
      </c>
      <c r="H314" t="n">
        <v>2</v>
      </c>
    </row>
    <row r="315">
      <c r="A315" s="5" t="n">
        <v>46234</v>
      </c>
      <c r="B315" t="inlineStr">
        <is>
          <t>CZ</t>
        </is>
      </c>
      <c r="C315" t="inlineStr">
        <is>
          <t>CC_CONSOL</t>
        </is>
      </c>
      <c r="D315" t="n">
        <v>23</v>
      </c>
      <c r="E315" t="n">
        <v>11</v>
      </c>
      <c r="F315" t="n">
        <v>8</v>
      </c>
      <c r="G315" t="n">
        <v>3</v>
      </c>
      <c r="H315" t="n">
        <v>1</v>
      </c>
    </row>
    <row r="316">
      <c r="A316" s="5" t="n">
        <v>46234</v>
      </c>
      <c r="B316" t="inlineStr">
        <is>
          <t>CZ</t>
        </is>
      </c>
      <c r="C316" t="inlineStr">
        <is>
          <t>CC_GOLD</t>
        </is>
      </c>
      <c r="D316" t="n">
        <v>38</v>
      </c>
      <c r="E316" t="n">
        <v>18</v>
      </c>
      <c r="F316" t="n">
        <v>16</v>
      </c>
      <c r="G316" t="n">
        <v>1</v>
      </c>
      <c r="H316" t="n">
        <v>3</v>
      </c>
    </row>
    <row r="317">
      <c r="A317" s="5" t="n">
        <v>46234</v>
      </c>
      <c r="B317" t="inlineStr">
        <is>
          <t>CZ</t>
        </is>
      </c>
      <c r="C317" t="inlineStr">
        <is>
          <t>PL_PREM</t>
        </is>
      </c>
      <c r="D317" t="n">
        <v>37</v>
      </c>
      <c r="E317" t="n">
        <v>13</v>
      </c>
      <c r="F317" t="n">
        <v>23</v>
      </c>
      <c r="G317" t="n">
        <v>1</v>
      </c>
      <c r="H317" t="n">
        <v>0</v>
      </c>
    </row>
    <row r="318">
      <c r="A318" s="5" t="n">
        <v>46234</v>
      </c>
      <c r="B318" t="inlineStr">
        <is>
          <t>CZ</t>
        </is>
      </c>
      <c r="C318" t="inlineStr">
        <is>
          <t>PL_STD</t>
        </is>
      </c>
      <c r="D318" t="n">
        <v>94</v>
      </c>
      <c r="E318" t="n">
        <v>50</v>
      </c>
      <c r="F318" t="n">
        <v>38</v>
      </c>
      <c r="G318" t="n">
        <v>6</v>
      </c>
      <c r="H318" t="n">
        <v>0</v>
      </c>
    </row>
    <row r="319">
      <c r="A319" s="5" t="n">
        <v>46234</v>
      </c>
      <c r="B319" t="inlineStr">
        <is>
          <t>PL</t>
        </is>
      </c>
      <c r="C319" t="inlineStr">
        <is>
          <t>CC_CLASSIC</t>
        </is>
      </c>
      <c r="D319" t="n">
        <v>123</v>
      </c>
      <c r="E319" t="n">
        <v>78</v>
      </c>
      <c r="F319" t="n">
        <v>36</v>
      </c>
      <c r="G319" t="n">
        <v>5</v>
      </c>
      <c r="H319" t="n">
        <v>4</v>
      </c>
    </row>
    <row r="320">
      <c r="A320" s="5" t="n">
        <v>46234</v>
      </c>
      <c r="B320" t="inlineStr">
        <is>
          <t>PL</t>
        </is>
      </c>
      <c r="C320" t="inlineStr">
        <is>
          <t>CC_CONSOL</t>
        </is>
      </c>
      <c r="D320" t="n">
        <v>32</v>
      </c>
      <c r="E320" t="n">
        <v>13</v>
      </c>
      <c r="F320" t="n">
        <v>15</v>
      </c>
      <c r="G320" t="n">
        <v>2</v>
      </c>
      <c r="H320" t="n">
        <v>2</v>
      </c>
    </row>
    <row r="321">
      <c r="A321" s="5" t="n">
        <v>46234</v>
      </c>
      <c r="B321" t="inlineStr">
        <is>
          <t>PL</t>
        </is>
      </c>
      <c r="C321" t="inlineStr">
        <is>
          <t>CC_GOLD</t>
        </is>
      </c>
      <c r="D321" t="n">
        <v>46</v>
      </c>
      <c r="E321" t="n">
        <v>18</v>
      </c>
      <c r="F321" t="n">
        <v>23</v>
      </c>
      <c r="G321" t="n">
        <v>1</v>
      </c>
      <c r="H321" t="n">
        <v>4</v>
      </c>
    </row>
    <row r="322">
      <c r="A322" s="5" t="n">
        <v>46234</v>
      </c>
      <c r="B322" t="inlineStr">
        <is>
          <t>PL</t>
        </is>
      </c>
      <c r="C322" t="inlineStr">
        <is>
          <t>PL_PREM</t>
        </is>
      </c>
      <c r="D322" t="n">
        <v>59</v>
      </c>
      <c r="E322" t="n">
        <v>30</v>
      </c>
      <c r="F322" t="n">
        <v>28</v>
      </c>
      <c r="G322" t="n">
        <v>1</v>
      </c>
      <c r="H322" t="n">
        <v>0</v>
      </c>
    </row>
    <row r="323">
      <c r="A323" s="5" t="n">
        <v>46234</v>
      </c>
      <c r="B323" t="inlineStr">
        <is>
          <t>PL</t>
        </is>
      </c>
      <c r="C323" t="inlineStr">
        <is>
          <t>PL_STD</t>
        </is>
      </c>
      <c r="D323" t="n">
        <v>114</v>
      </c>
      <c r="E323" t="n">
        <v>52</v>
      </c>
      <c r="F323" t="n">
        <v>43</v>
      </c>
      <c r="G323" t="n">
        <v>12</v>
      </c>
      <c r="H323" t="n">
        <v>7</v>
      </c>
    </row>
    <row r="324">
      <c r="A324" s="5" t="n">
        <v>46234</v>
      </c>
      <c r="B324" t="inlineStr">
        <is>
          <t>RO</t>
        </is>
      </c>
      <c r="C324" t="inlineStr">
        <is>
          <t>CC_CLASSIC</t>
        </is>
      </c>
      <c r="D324" t="n">
        <v>71</v>
      </c>
      <c r="E324" t="n">
        <v>37</v>
      </c>
      <c r="F324" t="n">
        <v>25</v>
      </c>
      <c r="G324" t="n">
        <v>5</v>
      </c>
      <c r="H324" t="n">
        <v>4</v>
      </c>
    </row>
    <row r="325">
      <c r="A325" s="5" t="n">
        <v>46234</v>
      </c>
      <c r="B325" t="inlineStr">
        <is>
          <t>RO</t>
        </is>
      </c>
      <c r="C325" t="inlineStr">
        <is>
          <t>CC_CONSOL</t>
        </is>
      </c>
      <c r="D325" t="n">
        <v>25</v>
      </c>
      <c r="E325" t="n">
        <v>12</v>
      </c>
      <c r="F325" t="n">
        <v>10</v>
      </c>
      <c r="G325" t="n">
        <v>3</v>
      </c>
      <c r="H325" t="n">
        <v>0</v>
      </c>
    </row>
    <row r="326">
      <c r="A326" s="5" t="n">
        <v>46234</v>
      </c>
      <c r="B326" t="inlineStr">
        <is>
          <t>RO</t>
        </is>
      </c>
      <c r="C326" t="inlineStr">
        <is>
          <t>CC_GOLD</t>
        </is>
      </c>
      <c r="D326" t="n">
        <v>19</v>
      </c>
      <c r="E326" t="n">
        <v>7</v>
      </c>
      <c r="F326" t="n">
        <v>9</v>
      </c>
      <c r="G326" t="n">
        <v>2</v>
      </c>
      <c r="H326" t="n">
        <v>1</v>
      </c>
    </row>
    <row r="327">
      <c r="A327" s="5" t="n">
        <v>46234</v>
      </c>
      <c r="B327" t="inlineStr">
        <is>
          <t>RO</t>
        </is>
      </c>
      <c r="C327" t="inlineStr">
        <is>
          <t>PL_PREM</t>
        </is>
      </c>
      <c r="D327" t="n">
        <v>28</v>
      </c>
      <c r="E327" t="n">
        <v>10</v>
      </c>
      <c r="F327" t="n">
        <v>17</v>
      </c>
      <c r="G327" t="n">
        <v>1</v>
      </c>
      <c r="H327" t="n">
        <v>0</v>
      </c>
    </row>
    <row r="328">
      <c r="A328" s="5" t="n">
        <v>46234</v>
      </c>
      <c r="B328" t="inlineStr">
        <is>
          <t>RO</t>
        </is>
      </c>
      <c r="C328" t="inlineStr">
        <is>
          <t>PL_STD</t>
        </is>
      </c>
      <c r="D328" t="n">
        <v>85</v>
      </c>
      <c r="E328" t="n">
        <v>41</v>
      </c>
      <c r="F328" t="n">
        <v>34</v>
      </c>
      <c r="G328" t="n">
        <v>5</v>
      </c>
      <c r="H328" t="n">
        <v>5</v>
      </c>
    </row>
    <row r="329">
      <c r="A329" s="5" t="n">
        <v>46265</v>
      </c>
      <c r="B329" t="inlineStr">
        <is>
          <t>CZ</t>
        </is>
      </c>
      <c r="C329" t="inlineStr">
        <is>
          <t>CC_CLASSIC</t>
        </is>
      </c>
      <c r="D329" t="n">
        <v>89</v>
      </c>
      <c r="E329" t="n">
        <v>59</v>
      </c>
      <c r="F329" t="n">
        <v>27</v>
      </c>
      <c r="G329" t="n">
        <v>2</v>
      </c>
      <c r="H329" t="n">
        <v>1</v>
      </c>
    </row>
    <row r="330">
      <c r="A330" s="5" t="n">
        <v>46265</v>
      </c>
      <c r="B330" t="inlineStr">
        <is>
          <t>CZ</t>
        </is>
      </c>
      <c r="C330" t="inlineStr">
        <is>
          <t>CC_CONSOL</t>
        </is>
      </c>
      <c r="D330" t="n">
        <v>29</v>
      </c>
      <c r="E330" t="n">
        <v>11</v>
      </c>
      <c r="F330" t="n">
        <v>15</v>
      </c>
      <c r="G330" t="n">
        <v>0</v>
      </c>
      <c r="H330" t="n">
        <v>3</v>
      </c>
    </row>
    <row r="331">
      <c r="A331" s="5" t="n">
        <v>46265</v>
      </c>
      <c r="B331" t="inlineStr">
        <is>
          <t>CZ</t>
        </is>
      </c>
      <c r="C331" t="inlineStr">
        <is>
          <t>CC_GOLD</t>
        </is>
      </c>
      <c r="D331" t="n">
        <v>30</v>
      </c>
      <c r="E331" t="n">
        <v>14</v>
      </c>
      <c r="F331" t="n">
        <v>14</v>
      </c>
      <c r="G331" t="n">
        <v>2</v>
      </c>
      <c r="H331" t="n">
        <v>0</v>
      </c>
    </row>
    <row r="332">
      <c r="A332" s="5" t="n">
        <v>46265</v>
      </c>
      <c r="B332" t="inlineStr">
        <is>
          <t>CZ</t>
        </is>
      </c>
      <c r="C332" t="inlineStr">
        <is>
          <t>PL_PREM</t>
        </is>
      </c>
      <c r="D332" t="n">
        <v>49</v>
      </c>
      <c r="E332" t="n">
        <v>17</v>
      </c>
      <c r="F332" t="n">
        <v>28</v>
      </c>
      <c r="G332" t="n">
        <v>2</v>
      </c>
      <c r="H332" t="n">
        <v>2</v>
      </c>
    </row>
    <row r="333">
      <c r="A333" s="5" t="n">
        <v>46265</v>
      </c>
      <c r="B333" t="inlineStr">
        <is>
          <t>CZ</t>
        </is>
      </c>
      <c r="C333" t="inlineStr">
        <is>
          <t>PL_STD</t>
        </is>
      </c>
      <c r="D333" t="n">
        <v>103</v>
      </c>
      <c r="E333" t="n">
        <v>50</v>
      </c>
      <c r="F333" t="n">
        <v>37</v>
      </c>
      <c r="G333" t="n">
        <v>12</v>
      </c>
      <c r="H333" t="n">
        <v>4</v>
      </c>
    </row>
    <row r="334">
      <c r="A334" s="5" t="n">
        <v>46265</v>
      </c>
      <c r="B334" t="inlineStr">
        <is>
          <t>PL</t>
        </is>
      </c>
      <c r="C334" t="inlineStr">
        <is>
          <t>CC_CLASSIC</t>
        </is>
      </c>
      <c r="D334" t="n">
        <v>135</v>
      </c>
      <c r="E334" t="n">
        <v>84</v>
      </c>
      <c r="F334" t="n">
        <v>38</v>
      </c>
      <c r="G334" t="n">
        <v>6</v>
      </c>
      <c r="H334" t="n">
        <v>7</v>
      </c>
    </row>
    <row r="335">
      <c r="A335" s="5" t="n">
        <v>46265</v>
      </c>
      <c r="B335" t="inlineStr">
        <is>
          <t>PL</t>
        </is>
      </c>
      <c r="C335" t="inlineStr">
        <is>
          <t>CC_CONSOL</t>
        </is>
      </c>
      <c r="D335" t="n">
        <v>38</v>
      </c>
      <c r="E335" t="n">
        <v>12</v>
      </c>
      <c r="F335" t="n">
        <v>19</v>
      </c>
      <c r="G335" t="n">
        <v>4</v>
      </c>
      <c r="H335" t="n">
        <v>3</v>
      </c>
    </row>
    <row r="336">
      <c r="A336" s="5" t="n">
        <v>46265</v>
      </c>
      <c r="B336" t="inlineStr">
        <is>
          <t>PL</t>
        </is>
      </c>
      <c r="C336" t="inlineStr">
        <is>
          <t>CC_GOLD</t>
        </is>
      </c>
      <c r="D336" t="n">
        <v>38</v>
      </c>
      <c r="E336" t="n">
        <v>18</v>
      </c>
      <c r="F336" t="n">
        <v>13</v>
      </c>
      <c r="G336" t="n">
        <v>3</v>
      </c>
      <c r="H336" t="n">
        <v>4</v>
      </c>
    </row>
    <row r="337">
      <c r="A337" s="5" t="n">
        <v>46265</v>
      </c>
      <c r="B337" t="inlineStr">
        <is>
          <t>PL</t>
        </is>
      </c>
      <c r="C337" t="inlineStr">
        <is>
          <t>PL_PREM</t>
        </is>
      </c>
      <c r="D337" t="n">
        <v>60</v>
      </c>
      <c r="E337" t="n">
        <v>23</v>
      </c>
      <c r="F337" t="n">
        <v>31</v>
      </c>
      <c r="G337" t="n">
        <v>4</v>
      </c>
      <c r="H337" t="n">
        <v>2</v>
      </c>
    </row>
    <row r="338">
      <c r="A338" s="5" t="n">
        <v>46265</v>
      </c>
      <c r="B338" t="inlineStr">
        <is>
          <t>PL</t>
        </is>
      </c>
      <c r="C338" t="inlineStr">
        <is>
          <t>PL_STD</t>
        </is>
      </c>
      <c r="D338" t="n">
        <v>146</v>
      </c>
      <c r="E338" t="n">
        <v>78</v>
      </c>
      <c r="F338" t="n">
        <v>56</v>
      </c>
      <c r="G338" t="n">
        <v>6</v>
      </c>
      <c r="H338" t="n">
        <v>6</v>
      </c>
    </row>
    <row r="339">
      <c r="A339" s="5" t="n">
        <v>46265</v>
      </c>
      <c r="B339" t="inlineStr">
        <is>
          <t>RO</t>
        </is>
      </c>
      <c r="C339" t="inlineStr">
        <is>
          <t>CC_CLASSIC</t>
        </is>
      </c>
      <c r="D339" t="n">
        <v>73</v>
      </c>
      <c r="E339" t="n">
        <v>47</v>
      </c>
      <c r="F339" t="n">
        <v>22</v>
      </c>
      <c r="G339" t="n">
        <v>1</v>
      </c>
      <c r="H339" t="n">
        <v>3</v>
      </c>
    </row>
    <row r="340">
      <c r="A340" s="5" t="n">
        <v>46265</v>
      </c>
      <c r="B340" t="inlineStr">
        <is>
          <t>RO</t>
        </is>
      </c>
      <c r="C340" t="inlineStr">
        <is>
          <t>CC_CONSOL</t>
        </is>
      </c>
      <c r="D340" t="n">
        <v>25</v>
      </c>
      <c r="E340" t="n">
        <v>13</v>
      </c>
      <c r="F340" t="n">
        <v>12</v>
      </c>
      <c r="G340" t="n">
        <v>0</v>
      </c>
      <c r="H340" t="n">
        <v>0</v>
      </c>
    </row>
    <row r="341">
      <c r="A341" s="5" t="n">
        <v>46265</v>
      </c>
      <c r="B341" t="inlineStr">
        <is>
          <t>RO</t>
        </is>
      </c>
      <c r="C341" t="inlineStr">
        <is>
          <t>CC_GOLD</t>
        </is>
      </c>
      <c r="D341" t="n">
        <v>19</v>
      </c>
      <c r="E341" t="n">
        <v>6</v>
      </c>
      <c r="F341" t="n">
        <v>13</v>
      </c>
      <c r="G341" t="n">
        <v>0</v>
      </c>
      <c r="H341" t="n">
        <v>0</v>
      </c>
    </row>
    <row r="342">
      <c r="A342" s="5" t="n">
        <v>46265</v>
      </c>
      <c r="B342" t="inlineStr">
        <is>
          <t>RO</t>
        </is>
      </c>
      <c r="C342" t="inlineStr">
        <is>
          <t>PL_PREM</t>
        </is>
      </c>
      <c r="D342" t="n">
        <v>37</v>
      </c>
      <c r="E342" t="n">
        <v>21</v>
      </c>
      <c r="F342" t="n">
        <v>10</v>
      </c>
      <c r="G342" t="n">
        <v>4</v>
      </c>
      <c r="H342" t="n">
        <v>2</v>
      </c>
    </row>
    <row r="343">
      <c r="A343" s="5" t="n">
        <v>46265</v>
      </c>
      <c r="B343" t="inlineStr">
        <is>
          <t>RO</t>
        </is>
      </c>
      <c r="C343" t="inlineStr">
        <is>
          <t>PL_STD</t>
        </is>
      </c>
      <c r="D343" t="n">
        <v>76</v>
      </c>
      <c r="E343" t="n">
        <v>41</v>
      </c>
      <c r="F343" t="n">
        <v>27</v>
      </c>
      <c r="G343" t="n">
        <v>5</v>
      </c>
      <c r="H34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Product mapping</t>
        </is>
      </c>
      <c r="E1" s="2" t="inlineStr">
        <is>
          <t>Treasury FX, EUR per 1 unit of local currency, month end</t>
        </is>
      </c>
    </row>
    <row r="2">
      <c r="A2" s="4" t="inlineStr">
        <is>
          <t>Product code</t>
        </is>
      </c>
      <c r="B2" s="4" t="inlineStr">
        <is>
          <t>Product name</t>
        </is>
      </c>
      <c r="C2" s="4" t="inlineStr">
        <is>
          <t>Product line</t>
        </is>
      </c>
      <c r="E2" s="9" t="inlineStr">
        <is>
          <t>Month end</t>
        </is>
      </c>
      <c r="F2" s="9" t="inlineStr">
        <is>
          <t>PLN</t>
        </is>
      </c>
      <c r="G2" s="9" t="inlineStr">
        <is>
          <t>CZK</t>
        </is>
      </c>
      <c r="H2" s="9" t="inlineStr">
        <is>
          <t>RON</t>
        </is>
      </c>
    </row>
    <row r="3">
      <c r="A3" t="inlineStr">
        <is>
          <t>PL_STD</t>
        </is>
      </c>
      <c r="B3" t="inlineStr">
        <is>
          <t>Personal Loan Standard</t>
        </is>
      </c>
      <c r="C3" t="inlineStr">
        <is>
          <t>Personal Loans</t>
        </is>
      </c>
      <c r="E3" s="5" t="n">
        <v>45565</v>
      </c>
      <c r="F3" s="10" t="n">
        <v>0.230949</v>
      </c>
      <c r="G3" s="10" t="n">
        <v>0.040347</v>
      </c>
      <c r="H3" s="10" t="n">
        <v>0.189961</v>
      </c>
    </row>
    <row r="4">
      <c r="A4" t="inlineStr">
        <is>
          <t>PL_PREM</t>
        </is>
      </c>
      <c r="B4" t="inlineStr">
        <is>
          <t>Personal Loan Premium</t>
        </is>
      </c>
      <c r="C4" t="inlineStr">
        <is>
          <t>Personal Loans</t>
        </is>
      </c>
      <c r="E4" s="5" t="n">
        <v>45596</v>
      </c>
      <c r="F4" s="10" t="n">
        <v>0.230575</v>
      </c>
      <c r="G4" s="10" t="n">
        <v>0.040611</v>
      </c>
      <c r="H4" s="10" t="n">
        <v>0.188795</v>
      </c>
    </row>
    <row r="5">
      <c r="A5" t="inlineStr">
        <is>
          <t>CC_CLASSIC</t>
        </is>
      </c>
      <c r="B5" t="inlineStr">
        <is>
          <t>Classic Credit Card</t>
        </is>
      </c>
      <c r="C5" t="inlineStr">
        <is>
          <t>Credit Cards</t>
        </is>
      </c>
      <c r="E5" s="5" t="n">
        <v>45626</v>
      </c>
      <c r="F5" s="10" t="n">
        <v>0.232402</v>
      </c>
      <c r="G5" s="10" t="n">
        <v>0.040705</v>
      </c>
      <c r="H5" s="10" t="n">
        <v>0.188257</v>
      </c>
    </row>
    <row r="6">
      <c r="A6" t="inlineStr">
        <is>
          <t>CC_GOLD</t>
        </is>
      </c>
      <c r="B6" t="inlineStr">
        <is>
          <t>Gold Credit Card</t>
        </is>
      </c>
      <c r="C6" t="inlineStr">
        <is>
          <t>Credit Cards</t>
        </is>
      </c>
      <c r="E6" s="5" t="n">
        <v>45657</v>
      </c>
      <c r="F6" s="10" t="n">
        <v>0.232215</v>
      </c>
      <c r="G6" s="10" t="n">
        <v>0.040636</v>
      </c>
      <c r="H6" s="10" t="n">
        <v>0.188817</v>
      </c>
    </row>
    <row r="7">
      <c r="A7" t="inlineStr">
        <is>
          <t>CC_CONSOL</t>
        </is>
      </c>
      <c r="B7" t="inlineStr">
        <is>
          <t>Card Debt Consolidation Loan</t>
        </is>
      </c>
      <c r="C7" t="inlineStr">
        <is>
          <t>Personal Loans</t>
        </is>
      </c>
      <c r="E7" s="5" t="n">
        <v>45688</v>
      </c>
      <c r="F7" s="10" t="n">
        <v>0.232251</v>
      </c>
      <c r="G7" s="10" t="n">
        <v>0.040895</v>
      </c>
      <c r="H7" s="10" t="n">
        <v>0.189767</v>
      </c>
    </row>
    <row r="8">
      <c r="E8" s="5" t="n">
        <v>45716</v>
      </c>
      <c r="F8" s="10" t="n">
        <v>0.232065</v>
      </c>
      <c r="G8" s="10" t="n">
        <v>0.040987</v>
      </c>
      <c r="H8" s="10" t="n">
        <v>0.190291</v>
      </c>
    </row>
    <row r="9">
      <c r="E9" s="5" t="n">
        <v>45747</v>
      </c>
      <c r="F9" s="10" t="n">
        <v>0.231251</v>
      </c>
      <c r="G9" s="10" t="n">
        <v>0.041141</v>
      </c>
      <c r="H9" s="10" t="n">
        <v>0.190801</v>
      </c>
    </row>
    <row r="10">
      <c r="E10" s="5" t="n">
        <v>45777</v>
      </c>
      <c r="F10" s="10" t="n">
        <v>0.231464</v>
      </c>
      <c r="G10" s="10" t="n">
        <v>0.041053</v>
      </c>
      <c r="H10" s="10" t="n">
        <v>0.189612</v>
      </c>
    </row>
    <row r="11">
      <c r="E11" s="5" t="n">
        <v>45808</v>
      </c>
      <c r="F11" s="10" t="n">
        <v>0.230063</v>
      </c>
      <c r="G11" s="10" t="n">
        <v>0.040849</v>
      </c>
      <c r="H11" s="10" t="n">
        <v>0.188</v>
      </c>
    </row>
    <row r="12">
      <c r="E12" s="5" t="n">
        <v>45838</v>
      </c>
      <c r="F12" s="10" t="n">
        <v>0.22961</v>
      </c>
      <c r="G12" s="10" t="n">
        <v>0.040598</v>
      </c>
      <c r="H12" s="10" t="n">
        <v>0.187223</v>
      </c>
    </row>
    <row r="13">
      <c r="E13" s="5" t="n">
        <v>45869</v>
      </c>
      <c r="F13" s="10" t="n">
        <v>0.229526</v>
      </c>
      <c r="G13" s="10" t="n">
        <v>0.040753</v>
      </c>
      <c r="H13" s="10" t="n">
        <v>0.18707</v>
      </c>
    </row>
    <row r="14">
      <c r="E14" s="5" t="n">
        <v>45900</v>
      </c>
      <c r="F14" s="10" t="n">
        <v>0.229584</v>
      </c>
      <c r="G14" s="10" t="n">
        <v>0.040273</v>
      </c>
      <c r="H14" s="10" t="n">
        <v>0.186123</v>
      </c>
    </row>
    <row r="15">
      <c r="E15" s="5" t="n">
        <v>45930</v>
      </c>
      <c r="F15" s="10" t="n">
        <v>0.226984</v>
      </c>
      <c r="G15" s="10" t="n">
        <v>0.039965</v>
      </c>
      <c r="H15" s="10" t="n">
        <v>0.186666</v>
      </c>
    </row>
    <row r="16">
      <c r="E16" s="5" t="n">
        <v>45961</v>
      </c>
      <c r="F16" s="10" t="n">
        <v>0.227082</v>
      </c>
      <c r="G16" s="10" t="n">
        <v>0.039971</v>
      </c>
      <c r="H16" s="10" t="n">
        <v>0.187879</v>
      </c>
    </row>
    <row r="17">
      <c r="E17" s="5" t="n">
        <v>45991</v>
      </c>
      <c r="F17" s="10" t="n">
        <v>0.226047</v>
      </c>
      <c r="G17" s="10" t="n">
        <v>0.040119</v>
      </c>
      <c r="H17" s="10" t="n">
        <v>0.18806</v>
      </c>
    </row>
    <row r="18">
      <c r="E18" s="5" t="n">
        <v>46022</v>
      </c>
      <c r="F18" s="10" t="n">
        <v>0.224763</v>
      </c>
      <c r="G18" s="10" t="n">
        <v>0.04001</v>
      </c>
      <c r="H18" s="10" t="n">
        <v>0.187818</v>
      </c>
    </row>
    <row r="19">
      <c r="E19" s="5" t="n">
        <v>46053</v>
      </c>
      <c r="F19" s="10" t="n">
        <v>0.227158</v>
      </c>
      <c r="G19" s="10" t="n">
        <v>0.039991</v>
      </c>
      <c r="H19" s="10" t="n">
        <v>0.189102</v>
      </c>
    </row>
    <row r="20">
      <c r="E20" s="5" t="n">
        <v>46081</v>
      </c>
      <c r="F20" s="10" t="n">
        <v>0.228388</v>
      </c>
      <c r="G20" s="10" t="n">
        <v>0.039682</v>
      </c>
      <c r="H20" s="10" t="n">
        <v>0.188762</v>
      </c>
    </row>
    <row r="21">
      <c r="E21" s="5" t="n">
        <v>46112</v>
      </c>
      <c r="F21" s="10" t="n">
        <v>0.228496</v>
      </c>
      <c r="G21" s="10" t="n">
        <v>0.039527</v>
      </c>
      <c r="H21" s="10" t="n">
        <v>0.18845</v>
      </c>
    </row>
    <row r="22">
      <c r="E22" s="5" t="n">
        <v>46142</v>
      </c>
      <c r="F22" s="10" t="n">
        <v>0.226567</v>
      </c>
      <c r="G22" s="10" t="n">
        <v>0.039341</v>
      </c>
      <c r="H22" s="10" t="n">
        <v>0.188675</v>
      </c>
    </row>
    <row r="23">
      <c r="E23" s="5" t="n">
        <v>46173</v>
      </c>
      <c r="F23" s="10" t="n">
        <v>0.229054</v>
      </c>
      <c r="G23" s="10" t="n">
        <v>0.039391</v>
      </c>
      <c r="H23" s="10" t="n">
        <v>0.187777</v>
      </c>
    </row>
    <row r="24">
      <c r="E24" s="5" t="n">
        <v>46203</v>
      </c>
      <c r="F24" s="10" t="n">
        <v>0.227826</v>
      </c>
      <c r="G24" s="10" t="n">
        <v>0.039265</v>
      </c>
      <c r="H24" s="10" t="n">
        <v>0.187234</v>
      </c>
    </row>
    <row r="25">
      <c r="E25" s="5" t="n">
        <v>46234</v>
      </c>
      <c r="F25" s="10" t="n">
        <v>0.224614</v>
      </c>
      <c r="G25" s="10" t="n">
        <v>0.039095</v>
      </c>
      <c r="H25" s="10" t="n">
        <v>0.186757</v>
      </c>
    </row>
    <row r="26">
      <c r="E26" s="5" t="n">
        <v>46265</v>
      </c>
      <c r="F26" s="10" t="n">
        <v>0.224321</v>
      </c>
      <c r="G26" s="10" t="n">
        <v>0.039175</v>
      </c>
      <c r="H26" s="10" t="n">
        <v>0.186351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2026-09-22T07:19:16Z</dcterms:created>
  <dcterms:modified xsi:type="dcterms:W3CDTF">2026-09-22T07:19:16Z</dcterms:modified>
</cp:coreProperties>
</file>